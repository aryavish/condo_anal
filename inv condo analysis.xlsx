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Cash Flows" sheetId="2" r:id="rId6"/>
  </sheets>
  <definedNames/>
  <calcPr/>
</workbook>
</file>

<file path=xl/sharedStrings.xml><?xml version="1.0" encoding="utf-8"?>
<sst xmlns="http://schemas.openxmlformats.org/spreadsheetml/2006/main" count="172" uniqueCount="138">
  <si>
    <t>CONDO REAL ESTATE INVESTMENT MODEL</t>
  </si>
  <si>
    <t>INPUT PARAMETERS</t>
  </si>
  <si>
    <t>Value</t>
  </si>
  <si>
    <t>Unit</t>
  </si>
  <si>
    <t>Description</t>
  </si>
  <si>
    <t>SOURCES OF FUNDS</t>
  </si>
  <si>
    <t>Amount ($)</t>
  </si>
  <si>
    <t>% of Total</t>
  </si>
  <si>
    <t>Purchase Price</t>
  </si>
  <si>
    <t>USD</t>
  </si>
  <si>
    <t>30-YEAR CONDO INVESTMENT CASH FLOW PRO-FORMA</t>
  </si>
  <si>
    <t>Agreed purchase contract price</t>
  </si>
  <si>
    <t>Senior Mortgage Loan</t>
  </si>
  <si>
    <t>Period (t)</t>
  </si>
  <si>
    <t>Closing Costs</t>
  </si>
  <si>
    <t>Escrow, title, legal &amp; transfer tax (~2.0%)</t>
  </si>
  <si>
    <t>Seller Concessions</t>
  </si>
  <si>
    <t>Initial Renovation &amp; Setup</t>
  </si>
  <si>
    <t>Immediate unit repairs &amp; capital setup</t>
  </si>
  <si>
    <t>Investor Equity (Cash Required)</t>
  </si>
  <si>
    <t>Loan-to-Value (LTV)</t>
  </si>
  <si>
    <t>Investment Timeline</t>
  </si>
  <si>
    <t>%</t>
  </si>
  <si>
    <t>Senior mortgage debt financing ratio</t>
  </si>
  <si>
    <t>Year 0</t>
  </si>
  <si>
    <t>Total Sources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</si>
  <si>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</si>
  <si>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</si>
  <si>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</si>
  <si>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</si>
  <si>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</si>
  <si>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</si>
  <si>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</si>
  <si>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</si>
  <si>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</si>
  <si>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</si>
  <si>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</si>
  <si>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</si>
  <si>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</si>
  <si>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</si>
  <si>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</si>
  <si>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</si>
  <si>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</si>
  <si>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Annual Mortgage Interest Rate</t>
  </si>
  <si>
    <t>Year 18</t>
  </si>
  <si>
    <t>Year 19</t>
  </si>
  <si>
    <t>Year 20</t>
  </si>
  <si>
    <t>Fixed annual mortgage loan interest rate</t>
  </si>
  <si>
    <t/>
  </si>
  <si>
    <t>Year 21</t>
  </si>
  <si>
    <t>Year 22</t>
  </si>
  <si>
    <t>Year 23</t>
  </si>
  <si>
    <t>Year 24</t>
  </si>
  <si>
    <t>Loan Term (Years)</t>
  </si>
  <si>
    <t>Year 25</t>
  </si>
  <si>
    <t>Year 26</t>
  </si>
  <si>
    <t>Years</t>
  </si>
  <si>
    <t>Mortgage amortization term</t>
  </si>
  <si>
    <t>Year 27</t>
  </si>
  <si>
    <t>USES OF FUNDS</t>
  </si>
  <si>
    <t>Year 28</t>
  </si>
  <si>
    <t>Year 29</t>
  </si>
  <si>
    <t>Gross Annual Rental Income</t>
  </si>
  <si>
    <t>USD / Yr</t>
  </si>
  <si>
    <t>Year 30</t>
  </si>
  <si>
    <t>Base market rent ($3,000 / month)</t>
  </si>
  <si>
    <t>Property Purchase Price</t>
  </si>
  <si>
    <t>OPERATING CASH FLOW SCHEDULE (UNLEVERED)</t>
  </si>
  <si>
    <t>Vacancy &amp; Credit Loss Rate</t>
  </si>
  <si>
    <t>Allowance for tenant turnover / vacancy</t>
  </si>
  <si>
    <t>Closing Costs &amp; Fees</t>
  </si>
  <si>
    <t>Annual HOA Dues</t>
  </si>
  <si>
    <t>Condominium association dues ($400/mo)</t>
  </si>
  <si>
    <t>Annual Property Taxes</t>
  </si>
  <si>
    <t>Local municipal property assessment (~1.2%)</t>
  </si>
  <si>
    <t>Rate Buydown</t>
  </si>
  <si>
    <t>Annual Property Insurance</t>
  </si>
  <si>
    <t>Condo hazard &amp; liability insurance policy</t>
  </si>
  <si>
    <t>Working Capital</t>
  </si>
  <si>
    <t>Gross Scheduled Rental Income</t>
  </si>
  <si>
    <t>Annual Rent &amp; Expense Growth</t>
  </si>
  <si>
    <t>% YoY</t>
  </si>
  <si>
    <t>Annual inflation &amp; market growth rate</t>
  </si>
  <si>
    <t>Total Uses</t>
  </si>
  <si>
    <t>Target Exit Year</t>
  </si>
  <si>
    <t>Year (1-30)</t>
  </si>
  <si>
    <t>Planned disposition year within 30-yr horizon</t>
  </si>
  <si>
    <t>Sources &amp; Uses Balance Check</t>
  </si>
  <si>
    <t>Projected Exit Price</t>
  </si>
  <si>
    <t>Estimated gross disposition value at exit</t>
  </si>
  <si>
    <t>EXECUTIVE RETURN SUMMARY</t>
  </si>
  <si>
    <t>Metric Type / Description</t>
  </si>
  <si>
    <t>Cost of Sale Rate</t>
  </si>
  <si>
    <t>Broker commissions &amp; closing legal at exit</t>
  </si>
  <si>
    <t>Holding Period</t>
  </si>
  <si>
    <t>Target investment holding horizon</t>
  </si>
  <si>
    <t>Points or upfront fee to buy down interest rate</t>
  </si>
  <si>
    <t>Initial Equity Invested</t>
  </si>
  <si>
    <t>Total cash required at acquisition (t=0)</t>
  </si>
  <si>
    <t>Seller credit contributed toward buyer closing costs</t>
  </si>
  <si>
    <t>Project Levered IRR</t>
  </si>
  <si>
    <t>Annualized Internal Rate of Return</t>
  </si>
  <si>
    <t>Year 1 Cash-on-Cash Return</t>
  </si>
  <si>
    <t>First-year net cash yield on invested equity</t>
  </si>
  <si>
    <t>Total Net Cash Flow</t>
  </si>
  <si>
    <t>Cumulative net cash distributions over hold</t>
  </si>
  <si>
    <t>Rate Buydown (year)</t>
  </si>
  <si>
    <t>Equity Multiple (MOIC)</t>
  </si>
  <si>
    <t>Total cash distributed divided by initial equity</t>
  </si>
  <si>
    <t>Projected Gross Exit Price</t>
  </si>
  <si>
    <t>Unlevered gross disposition value at exit</t>
  </si>
  <si>
    <t>asset growth gross YoY</t>
  </si>
  <si>
    <t>per annum rate cost</t>
  </si>
  <si>
    <t>irr hold</t>
  </si>
  <si>
    <t>Error Check</t>
  </si>
  <si>
    <t>per annum carrying cost</t>
  </si>
  <si>
    <t>Vacancy &amp; Credit Loss (-)</t>
  </si>
  <si>
    <t>Effective Gross Income (EGI)</t>
  </si>
  <si>
    <t>Condominium HOA Dues (-)</t>
  </si>
  <si>
    <t>Property Taxes (-)</t>
  </si>
  <si>
    <t>Property Insurance (-)</t>
  </si>
  <si>
    <t>Total Operating Expenses (-)</t>
  </si>
  <si>
    <t>Net Operating Income (NOI)</t>
  </si>
  <si>
    <t>DEBT SERVICE &amp; LOAN SCHEDULE</t>
  </si>
  <si>
    <t>Beginning Loan Balance</t>
  </si>
  <si>
    <t>Annual Debt Service (Total Payment) (-)</t>
  </si>
  <si>
    <t>Interest Payment Portion (-)</t>
  </si>
  <si>
    <t>Principal Paydown Portion (-)</t>
  </si>
  <si>
    <t>Ending Loan Balance</t>
  </si>
  <si>
    <t>CAPITAL TRANSACTIONS &amp; TERMINAL EXIT SCHEDULE</t>
  </si>
  <si>
    <t>Gross Exit Disposition Price</t>
  </si>
  <si>
    <t>Cost of Sale (Brokerage &amp; Legal) (-)</t>
  </si>
  <si>
    <t>Net Exit Disposition Proceeds</t>
  </si>
  <si>
    <t>Senior Mortgage Payoff at Exit (-)</t>
  </si>
  <si>
    <t>Net Terminal Capital Proceeds</t>
  </si>
  <si>
    <t>NET LEVERED CASH FLOW</t>
  </si>
  <si>
    <t>Cumulative Net Cash Flow</t>
  </si>
  <si>
    <t>rate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</si>
</sst>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"/>
    <numFmt numFmtId="165" formatCode="0.0%"/>
    <numFmt numFmtId="166" formatCode="$#,##0;($#,##0);&quot;-&quot;"/>
    <numFmt numFmtId="167" formatCode="0.00&quot;x&quot;"/>
    <numFmt numFmtId="168" formatCode="$#,##0;($#,##0)"/>
  </numFmts>
  <fonts count="16">
    <font>
      <sz val="10.0"/>
      <color rgb="FF000000"/>
      <name val="Arial"/>
      <scheme val="minor"/>
    </font>
    <font>
      <b/>
      <sz val="14.0"/>
      <color rgb="FF1B365D"/>
      <name val="Roboto"/>
    </font>
    <font>
      <b/>
      <sz val="10.0"/>
      <color rgb="FFFFFFFF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sz val="9.0"/>
      <color rgb="FF666666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1B365D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rgb="FF267226"/>
      <name val="Arial"/>
    </font>
    <font>
      <color rgb="FF1155CC"/>
      <name val="&quot;Google Sans Mono&quot;"/>
    </font>
    <font>
      <sz val="11.0"/>
      <color rgb="FF1F1F1F"/>
      <name val="&quot;Google Sans&quot;"/>
    </font>
    <font>
      <b/>
      <sz val="10.0"/>
      <color theme="1"/>
      <name val="Arial"/>
      <scheme val="minor"/>
    </font>
    <font>
      <b/>
      <i/>
      <sz val="9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FF8C4"/>
        <bgColor rgb="FFFFF8C4"/>
      </patternFill>
    </fill>
    <fill>
      <patternFill patternType="solid">
        <fgColor rgb="FFFFFFFF"/>
        <bgColor rgb="FFFFFFFF"/>
      </patternFill>
    </fill>
    <fill>
      <patternFill patternType="solid">
        <fgColor rgb="FFE8EDF4"/>
        <bgColor rgb="FFE8EDF4"/>
      </patternFill>
    </fill>
    <fill>
      <patternFill patternType="solid">
        <fgColor rgb="FFE8F4E8"/>
        <bgColor rgb="FFE8F4E8"/>
      </patternFill>
    </fill>
    <fill>
      <patternFill patternType="solid">
        <fgColor rgb="FFF0F4F9"/>
        <bgColor rgb="FFF0F4F9"/>
      </patternFill>
    </fill>
    <fill>
      <patternFill patternType="solid">
        <fgColor rgb="FFEFF4F8"/>
        <bgColor rgb="FFEFF4F8"/>
      </patternFill>
    </fill>
    <fill>
      <patternFill patternType="solid">
        <fgColor rgb="FFE2EDF7"/>
        <bgColor rgb="FFE2EDF7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top style="thin">
        <color rgb="FFB2B2B2"/>
      </top>
    </border>
    <border>
      <top style="thin">
        <color rgb="FF7F7F7F"/>
      </top>
      <bottom style="double">
        <color rgb="FF4C4C4C"/>
      </bottom>
    </border>
    <border>
      <top style="thin">
        <color rgb="FFB2B2B2"/>
      </top>
      <bottom style="thin">
        <color rgb="FFB2B2B2"/>
      </bottom>
    </border>
    <border>
      <top style="thin">
        <color rgb="FF3366B2"/>
      </top>
      <bottom style="double">
        <color rgb="FF3366B2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3" fontId="4" numFmtId="164" xfId="0" applyAlignment="1" applyBorder="1" applyFill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1" fillId="0" fontId="3" numFmtId="165" xfId="0" applyBorder="1" applyFont="1" applyNumberFormat="1"/>
    <xf borderId="1" fillId="3" fontId="4" numFmtId="165" xfId="0" applyAlignment="1" applyBorder="1" applyFill="1" applyFont="1" applyNumberFormat="1">
      <alignment readingOrder="0"/>
    </xf>
    <xf borderId="0" fillId="2" fontId="2" numFmtId="0" xfId="0" applyAlignment="1" applyFill="1" applyFont="1">
      <alignment horizontal="left" readingOrder="0"/>
    </xf>
    <xf borderId="2" fillId="0" fontId="3" numFmtId="0" xfId="0" applyBorder="1" applyFont="1"/>
    <xf borderId="0" fillId="2" fontId="2" numFmtId="0" xfId="0" applyAlignment="1" applyFill="1" applyFont="1">
      <alignment horizontal="center" readingOrder="0"/>
    </xf>
    <xf borderId="2" fillId="0" fontId="6" numFmtId="164" xfId="0" applyBorder="1" applyFont="1" applyNumberFormat="1"/>
    <xf borderId="2" fillId="0" fontId="3" numFmtId="165" xfId="0" applyBorder="1" applyFont="1" applyNumberFormat="1"/>
    <xf borderId="1" fillId="3" fontId="4" numFmtId="10" xfId="0" applyAlignment="1" applyBorder="1" applyFill="1" applyFont="1" applyNumberFormat="1">
      <alignment readingOrder="0"/>
    </xf>
    <xf borderId="0" fillId="4" fontId="2" numFmtId="0" xfId="0" applyAlignment="1" applyFill="1" applyFont="1">
      <alignment readingOrder="0"/>
    </xf>
    <xf borderId="1" fillId="3" fontId="4" numFmtId="1" xfId="0" applyAlignment="1" applyBorder="1" applyFill="1" applyFont="1" applyNumberFormat="1">
      <alignment readingOrder="0"/>
    </xf>
    <xf borderId="1" fillId="2" fontId="2" numFmtId="0" xfId="0" applyBorder="1" applyFill="1" applyFont="1"/>
    <xf borderId="1" fillId="4" fontId="7" numFmtId="164" xfId="0" applyBorder="1" applyFill="1" applyFont="1" applyNumberFormat="1"/>
    <xf borderId="0" fillId="5" fontId="8" numFmtId="0" xfId="0" applyAlignment="1" applyFill="1" applyFont="1">
      <alignment readingOrder="0"/>
    </xf>
    <xf borderId="1" fillId="4" fontId="7" numFmtId="165" xfId="0" applyBorder="1" applyFill="1" applyFont="1" applyNumberFormat="1"/>
    <xf borderId="0" fillId="5" fontId="8" numFmtId="0" xfId="0" applyFill="1" applyFont="1"/>
    <xf borderId="1" fillId="4" fontId="9" numFmtId="0" xfId="0" applyAlignment="1" applyBorder="1" applyFill="1" applyFont="1">
      <alignment horizontal="left"/>
    </xf>
    <xf borderId="0" fillId="0" fontId="7" numFmtId="166" xfId="0" applyAlignment="1" applyFont="1" applyNumberFormat="1">
      <alignment readingOrder="0"/>
    </xf>
    <xf borderId="1" fillId="4" fontId="9" numFmtId="164" xfId="0" applyAlignment="1" applyBorder="1" applyFill="1" applyFont="1" applyNumberFormat="1">
      <alignment horizontal="right"/>
    </xf>
    <xf borderId="1" fillId="4" fontId="9" numFmtId="165" xfId="0" applyAlignment="1" applyBorder="1" applyFill="1" applyFont="1" applyNumberFormat="1">
      <alignment horizontal="right"/>
    </xf>
    <xf borderId="1" fillId="4" fontId="10" numFmtId="0" xfId="0" applyAlignment="1" applyBorder="1" applyFill="1" applyFont="1">
      <alignment horizontal="left" readingOrder="0"/>
    </xf>
    <xf borderId="1" fillId="4" fontId="10" numFmtId="164" xfId="0" applyAlignment="1" applyBorder="1" applyFill="1" applyFont="1" applyNumberFormat="1">
      <alignment horizontal="right" readingOrder="0"/>
    </xf>
    <xf borderId="1" fillId="4" fontId="9" numFmtId="165" xfId="0" applyAlignment="1" applyBorder="1" applyFill="1" applyFont="1" applyNumberFormat="1">
      <alignment horizontal="right" readingOrder="0"/>
    </xf>
    <xf borderId="1" fillId="6" fontId="11" numFmtId="0" xfId="0" applyAlignment="1" applyBorder="1" applyFill="1" applyFont="1">
      <alignment horizontal="left" readingOrder="0"/>
    </xf>
    <xf borderId="1" fillId="6" fontId="11" numFmtId="164" xfId="0" applyAlignment="1" applyBorder="1" applyFill="1" applyFont="1" applyNumberFormat="1">
      <alignment horizontal="right"/>
    </xf>
    <xf borderId="0" fillId="0" fontId="7" numFmtId="166" xfId="0" applyFont="1" applyNumberFormat="1"/>
    <xf borderId="1" fillId="0" fontId="6" numFmtId="0" xfId="0" applyBorder="1" applyFont="1"/>
    <xf borderId="1" fillId="0" fontId="3" numFmtId="0" xfId="0" applyBorder="1" applyFont="1"/>
    <xf borderId="1" fillId="3" fontId="6" numFmtId="164" xfId="0" applyAlignment="1" applyBorder="1" applyFill="1" applyFont="1" applyNumberFormat="1">
      <alignment readingOrder="0"/>
    </xf>
    <xf borderId="1" fillId="0" fontId="6" numFmtId="164" xfId="0" applyBorder="1" applyFont="1" applyNumberFormat="1"/>
    <xf borderId="1" fillId="0" fontId="6" numFmtId="10" xfId="0" applyBorder="1" applyFont="1" applyNumberFormat="1"/>
    <xf borderId="0" fillId="0" fontId="6" numFmtId="0" xfId="0" applyAlignment="1" applyFont="1">
      <alignment readingOrder="0"/>
    </xf>
    <xf borderId="1" fillId="0" fontId="6" numFmtId="167" xfId="0" applyBorder="1" applyFont="1" applyNumberFormat="1"/>
    <xf borderId="2" fillId="0" fontId="3" numFmtId="0" xfId="0" applyAlignment="1" applyBorder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0" fontId="3" numFmtId="10" xfId="0" applyFont="1" applyNumberFormat="1"/>
    <xf borderId="0" fillId="0" fontId="3" numFmtId="0" xfId="0" applyFont="1"/>
    <xf borderId="0" fillId="0" fontId="12" numFmtId="0" xfId="0" applyFont="1"/>
    <xf borderId="0" fillId="7" fontId="13" numFmtId="0" xfId="0" applyFill="1" applyFont="1"/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3" fillId="0" fontId="6" numFmtId="0" xfId="0" applyAlignment="1" applyBorder="1" applyFont="1">
      <alignment readingOrder="0"/>
    </xf>
    <xf borderId="3" fillId="0" fontId="4" numFmtId="166" xfId="0" applyAlignment="1" applyBorder="1" applyFont="1" applyNumberFormat="1">
      <alignment readingOrder="0"/>
    </xf>
    <xf borderId="3" fillId="0" fontId="4" numFmtId="166" xfId="0" applyBorder="1" applyFont="1" applyNumberFormat="1"/>
    <xf borderId="4" fillId="8" fontId="6" numFmtId="0" xfId="0" applyAlignment="1" applyBorder="1" applyFill="1" applyFont="1">
      <alignment readingOrder="0"/>
    </xf>
    <xf borderId="4" fillId="8" fontId="4" numFmtId="166" xfId="0" applyAlignment="1" applyBorder="1" applyFill="1" applyFont="1" applyNumberFormat="1">
      <alignment readingOrder="0"/>
    </xf>
    <xf borderId="4" fillId="8" fontId="4" numFmtId="166" xfId="0" applyBorder="1" applyFill="1" applyFont="1" applyNumberFormat="1"/>
    <xf borderId="0" fillId="5" fontId="8" numFmtId="166" xfId="0" applyFill="1" applyFont="1" applyNumberFormat="1"/>
    <xf borderId="5" fillId="8" fontId="6" numFmtId="0" xfId="0" applyAlignment="1" applyBorder="1" applyFill="1" applyFont="1">
      <alignment readingOrder="0"/>
    </xf>
    <xf borderId="5" fillId="8" fontId="4" numFmtId="166" xfId="0" applyBorder="1" applyFill="1" applyFont="1" applyNumberFormat="1"/>
    <xf borderId="5" fillId="8" fontId="4" numFmtId="166" xfId="0" applyAlignment="1" applyBorder="1" applyFill="1" applyFont="1" applyNumberFormat="1">
      <alignment readingOrder="0"/>
    </xf>
    <xf borderId="6" fillId="9" fontId="14" numFmtId="0" xfId="0" applyAlignment="1" applyBorder="1" applyFill="1" applyFont="1">
      <alignment readingOrder="0"/>
    </xf>
    <xf borderId="6" fillId="9" fontId="14" numFmtId="168" xfId="0" applyBorder="1" applyFill="1" applyFont="1" applyNumberFormat="1"/>
    <xf borderId="6" fillId="9" fontId="14" numFmtId="166" xfId="0" applyBorder="1" applyFill="1" applyFont="1" applyNumberFormat="1"/>
    <xf borderId="0" fillId="0" fontId="15" numFmtId="0" xfId="0" applyAlignment="1" applyFont="1">
      <alignment readingOrder="0"/>
    </xf>
    <xf borderId="0" fillId="0" fontId="15" numFmtId="166" xfId="0" applyFont="1" applyNumberFormat="1"/>
    <xf borderId="0" fillId="0" fontId="7" numFmtId="0" xfId="0" applyFont="1"/>
    <xf borderId="0" fillId="0" fontId="3" numFmtId="10" xfId="0" applyFont="1" applyNumberFormat="1"/>
    <xf borderId="0" fillId="0" fontId="3" numFmtId="168" xfId="0" applyFont="1" applyNumberFormat="1"/>
    <xf borderId="0" fillId="0" fontId="3" numFmtId="166" xfId="0" applyFont="1" applyNumberFormat="1"/>
    <xf borderId="0" fillId="0" fontId="3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0.13"/>
    <col customWidth="1" min="2" max="2" width="13.88"/>
    <col customWidth="1" min="3" max="3" width="10.75"/>
    <col customWidth="1" min="4" max="4" width="36.38"/>
    <col customWidth="1" min="5" max="5" width="3.88"/>
    <col customWidth="1" min="6" max="6" width="28.88"/>
    <col customWidth="1" min="7" max="7" width="15.75"/>
    <col customWidth="1" min="8" max="8" width="32.63"/>
  </cols>
  <sheetData>
    <row r="1">
      <c r="A1" s="1" t="s">
        <v>0</v>
      </c>
      <c r="B1" s="2"/>
      <c r="C1" s="2"/>
      <c r="D1" s="2"/>
    </row>
    <row r="3">
      <c r="A3" s="3" t="s">
        <v>1</v>
      </c>
      <c r="B3" s="3" t="s">
        <v>2</v>
      </c>
      <c r="C3" s="3" t="s">
        <v>3</v>
      </c>
      <c r="D3" s="3" t="s">
        <v>4</v>
      </c>
      <c r="F3" s="4" t="s">
        <v>5</v>
      </c>
      <c r="G3" s="4" t="s">
        <v>6</v>
      </c>
      <c r="H3" s="4" t="s">
        <v>7</v>
      </c>
    </row>
    <row r="4">
      <c r="A4" s="5" t="s">
        <v>8</v>
      </c>
      <c r="B4" s="6">
        <v>480000.0</v>
      </c>
      <c r="C4" s="5" t="s">
        <v>9</v>
      </c>
      <c r="D4" s="5" t="s">
        <v>11</v>
      </c>
      <c r="F4" s="7" t="s">
        <v>12</v>
      </c>
      <c r="G4" s="8">
        <f>$B$4*$B$7</f>
        <v>360000</v>
      </c>
      <c r="H4" s="11">
        <f t="shared" ref="H4:H6" si="1">G4/$G$7</f>
        <v>0.6747516589</v>
      </c>
    </row>
    <row r="5">
      <c r="A5" s="5" t="s">
        <v>14</v>
      </c>
      <c r="B5" s="6">
        <f>0.025*B4</f>
        <v>12000</v>
      </c>
      <c r="C5" s="5" t="s">
        <v>9</v>
      </c>
      <c r="D5" s="5" t="s">
        <v>15</v>
      </c>
      <c r="F5" s="7" t="s">
        <v>16</v>
      </c>
      <c r="G5" s="8">
        <f>$B$20</f>
        <v>30000</v>
      </c>
      <c r="H5" s="11">
        <f t="shared" si="1"/>
        <v>0.05622930491</v>
      </c>
    </row>
    <row r="6">
      <c r="A6" s="5" t="s">
        <v>17</v>
      </c>
      <c r="B6" s="6">
        <v>0.0</v>
      </c>
      <c r="C6" s="5" t="s">
        <v>9</v>
      </c>
      <c r="D6" s="5" t="s">
        <v>18</v>
      </c>
      <c r="F6" s="7" t="s">
        <v>19</v>
      </c>
      <c r="G6" s="8">
        <f>G15-G4-G5</f>
        <v>143529.6257</v>
      </c>
      <c r="H6" s="11">
        <f t="shared" si="1"/>
        <v>0.2690190362</v>
      </c>
    </row>
    <row r="7">
      <c r="A7" s="5" t="s">
        <v>20</v>
      </c>
      <c r="B7" s="12">
        <v>0.75</v>
      </c>
      <c r="C7" s="5" t="s">
        <v>22</v>
      </c>
      <c r="D7" s="5" t="s">
        <v>23</v>
      </c>
      <c r="F7" s="14" t="s">
        <v>25</v>
      </c>
      <c r="G7" s="16">
        <f t="shared" ref="G7:H7" si="2">SUM(G4:G6)</f>
        <v>533529.6257</v>
      </c>
      <c r="H7" s="17">
        <f t="shared" si="2"/>
        <v>1</v>
      </c>
    </row>
    <row r="8">
      <c r="A8" s="5" t="s">
        <v>43</v>
      </c>
      <c r="B8" s="18">
        <v>0.0725</v>
      </c>
      <c r="C8" s="5" t="s">
        <v>22</v>
      </c>
      <c r="D8" s="5" t="s">
        <v>47</v>
      </c>
      <c r="F8" s="19" t="s">
        <v>48</v>
      </c>
      <c r="G8" s="19" t="s">
        <v>48</v>
      </c>
      <c r="H8" s="19" t="s">
        <v>48</v>
      </c>
    </row>
    <row r="9">
      <c r="A9" s="5" t="s">
        <v>53</v>
      </c>
      <c r="B9" s="20">
        <v>30.0</v>
      </c>
      <c r="C9" s="5" t="s">
        <v>56</v>
      </c>
      <c r="D9" s="5" t="s">
        <v>57</v>
      </c>
      <c r="F9" s="4" t="s">
        <v>59</v>
      </c>
      <c r="G9" s="21" t="s">
        <v>6</v>
      </c>
      <c r="H9" s="21" t="s">
        <v>7</v>
      </c>
    </row>
    <row r="10">
      <c r="A10" s="5" t="s">
        <v>62</v>
      </c>
      <c r="B10" s="6">
        <v>45000.0</v>
      </c>
      <c r="C10" s="5" t="s">
        <v>63</v>
      </c>
      <c r="D10" s="5" t="s">
        <v>65</v>
      </c>
      <c r="F10" s="7" t="s">
        <v>66</v>
      </c>
      <c r="G10" s="22">
        <f>$B$4</f>
        <v>480000</v>
      </c>
      <c r="H10" s="24">
        <f t="shared" ref="H10:H14" si="3">G10/$G$15</f>
        <v>0.8996688785</v>
      </c>
    </row>
    <row r="11">
      <c r="A11" s="5" t="s">
        <v>68</v>
      </c>
      <c r="B11" s="12">
        <v>0.05</v>
      </c>
      <c r="C11" s="5" t="s">
        <v>22</v>
      </c>
      <c r="D11" s="5" t="s">
        <v>69</v>
      </c>
      <c r="F11" s="7" t="s">
        <v>70</v>
      </c>
      <c r="G11" s="22">
        <f>$B$5</f>
        <v>12000</v>
      </c>
      <c r="H11" s="24">
        <f t="shared" si="3"/>
        <v>0.02249172196</v>
      </c>
    </row>
    <row r="12">
      <c r="A12" s="5" t="s">
        <v>71</v>
      </c>
      <c r="B12" s="6">
        <f>600*12</f>
        <v>7200</v>
      </c>
      <c r="C12" s="5" t="s">
        <v>63</v>
      </c>
      <c r="D12" s="5" t="s">
        <v>72</v>
      </c>
      <c r="F12" s="7" t="s">
        <v>17</v>
      </c>
      <c r="G12" s="22">
        <f>$B$6</f>
        <v>0</v>
      </c>
      <c r="H12" s="24">
        <f t="shared" si="3"/>
        <v>0</v>
      </c>
    </row>
    <row r="13">
      <c r="A13" s="5" t="s">
        <v>73</v>
      </c>
      <c r="B13" s="6">
        <v>4000.0</v>
      </c>
      <c r="C13" s="5" t="s">
        <v>63</v>
      </c>
      <c r="D13" s="5" t="s">
        <v>74</v>
      </c>
      <c r="F13" s="7" t="s">
        <v>75</v>
      </c>
      <c r="G13" s="22">
        <f>$B$19</f>
        <v>40000</v>
      </c>
      <c r="H13" s="24">
        <f t="shared" si="3"/>
        <v>0.07497240654</v>
      </c>
    </row>
    <row r="14">
      <c r="A14" s="5" t="s">
        <v>76</v>
      </c>
      <c r="B14" s="6">
        <v>3000.0</v>
      </c>
      <c r="C14" s="5" t="s">
        <v>63</v>
      </c>
      <c r="D14" s="5" t="s">
        <v>77</v>
      </c>
      <c r="F14" s="26" t="s">
        <v>78</v>
      </c>
      <c r="G14" s="28">
        <f>-SUMIF('Cash Flows'!$C$27:$AF$27, "&lt;0")</f>
        <v>1529.625688</v>
      </c>
      <c r="H14" s="29">
        <f t="shared" si="3"/>
        <v>0.002866992973</v>
      </c>
    </row>
    <row r="15">
      <c r="A15" s="5" t="s">
        <v>80</v>
      </c>
      <c r="B15" s="12">
        <v>0.03</v>
      </c>
      <c r="C15" s="5" t="s">
        <v>81</v>
      </c>
      <c r="D15" s="5" t="s">
        <v>82</v>
      </c>
      <c r="F15" s="30" t="s">
        <v>83</v>
      </c>
      <c r="G15" s="31">
        <f t="shared" ref="G15:H15" si="4">SUM(G10:G14)</f>
        <v>533529.6257</v>
      </c>
      <c r="H15" s="32">
        <f t="shared" si="4"/>
        <v>1</v>
      </c>
    </row>
    <row r="16">
      <c r="A16" s="5" t="s">
        <v>84</v>
      </c>
      <c r="B16" s="20">
        <v>5.0</v>
      </c>
      <c r="C16" s="5" t="s">
        <v>85</v>
      </c>
      <c r="D16" s="5" t="s">
        <v>86</v>
      </c>
      <c r="F16" s="33" t="s">
        <v>87</v>
      </c>
      <c r="G16" s="34">
        <f>G7-G15</f>
        <v>0</v>
      </c>
      <c r="H16" s="33" t="str">
        <f>IF(G16=0, "BALANCED ✓", "OUT OF BALANCE ⚠️")</f>
        <v>BALANCED ✓</v>
      </c>
    </row>
    <row r="17">
      <c r="A17" s="5" t="s">
        <v>88</v>
      </c>
      <c r="B17" s="6">
        <v>560000.0</v>
      </c>
      <c r="C17" s="5" t="s">
        <v>9</v>
      </c>
      <c r="D17" s="5" t="s">
        <v>89</v>
      </c>
      <c r="F17" s="4" t="s">
        <v>90</v>
      </c>
      <c r="G17" s="21" t="s">
        <v>2</v>
      </c>
      <c r="H17" s="4" t="s">
        <v>91</v>
      </c>
    </row>
    <row r="18">
      <c r="A18" s="5" t="s">
        <v>92</v>
      </c>
      <c r="B18" s="12">
        <v>0.03</v>
      </c>
      <c r="C18" s="5" t="s">
        <v>22</v>
      </c>
      <c r="D18" s="5" t="s">
        <v>93</v>
      </c>
      <c r="F18" s="7" t="s">
        <v>94</v>
      </c>
      <c r="G18" s="36" t="str">
        <f>$B$16&amp;" Years"</f>
        <v>5 Years</v>
      </c>
      <c r="H18" s="7" t="s">
        <v>95</v>
      </c>
    </row>
    <row r="19">
      <c r="A19" s="37" t="s">
        <v>75</v>
      </c>
      <c r="B19" s="38">
        <v>40000.0</v>
      </c>
      <c r="C19" s="37" t="s">
        <v>9</v>
      </c>
      <c r="D19" s="37" t="s">
        <v>96</v>
      </c>
      <c r="F19" s="7" t="s">
        <v>97</v>
      </c>
      <c r="G19" s="39">
        <f>G6</f>
        <v>143529.6257</v>
      </c>
      <c r="H19" s="7" t="s">
        <v>98</v>
      </c>
    </row>
    <row r="20">
      <c r="A20" s="37" t="s">
        <v>16</v>
      </c>
      <c r="B20" s="38">
        <v>30000.0</v>
      </c>
      <c r="C20" s="37" t="s">
        <v>9</v>
      </c>
      <c r="D20" s="37" t="s">
        <v>99</v>
      </c>
      <c r="F20" s="7" t="s">
        <v>100</v>
      </c>
      <c r="G20" s="40">
        <f t="array" ref="G20">IFERROR(IRR('Cash Flows'!$B$27:INDEX('Cash Flows'!$B$27:$AF$27, 1, $B$16+1)), "N/A")</f>
        <v>0.1020867699</v>
      </c>
      <c r="H20" s="7" t="s">
        <v>101</v>
      </c>
    </row>
    <row r="21">
      <c r="F21" s="7" t="s">
        <v>102</v>
      </c>
      <c r="G21" s="40">
        <f>IFERROR('Cash Flows'!C27/G6, "N/A")</f>
        <v>-0.008312310704</v>
      </c>
      <c r="H21" s="7" t="s">
        <v>103</v>
      </c>
    </row>
    <row r="22">
      <c r="F22" s="7" t="s">
        <v>104</v>
      </c>
      <c r="G22" s="39">
        <f t="array" ref="G22">IFERROR(SUM('Cash Flows'!$B$27:INDEX('Cash Flows'!$B$27:$AF$27, 1, $B$16+1)), 0)</f>
        <v>90242.58925</v>
      </c>
      <c r="H22" s="7" t="s">
        <v>105</v>
      </c>
    </row>
    <row r="23">
      <c r="A23" s="41" t="s">
        <v>106</v>
      </c>
      <c r="B23" s="41" t="s">
        <v>22</v>
      </c>
      <c r="C23" s="41"/>
      <c r="F23" s="37" t="s">
        <v>107</v>
      </c>
      <c r="G23" s="42">
        <f t="array" ref="G23">IFERROR(SUM('Cash Flows'!$C$27:INDEX('Cash Flows'!$C$27:$AF$27, 1, $B$16))/G6, 0)</f>
        <v>1.628738414</v>
      </c>
      <c r="H23" s="37" t="s">
        <v>108</v>
      </c>
    </row>
    <row r="24">
      <c r="A24" s="9">
        <v>1.0</v>
      </c>
      <c r="B24" s="12">
        <v>0.03</v>
      </c>
      <c r="F24" s="43" t="s">
        <v>109</v>
      </c>
      <c r="G24" s="16">
        <f>$B$17</f>
        <v>560000</v>
      </c>
      <c r="H24" s="14" t="s">
        <v>110</v>
      </c>
    </row>
    <row r="25">
      <c r="A25" s="9">
        <f t="shared" ref="A25:A28" si="5">1+A24</f>
        <v>2</v>
      </c>
      <c r="B25" s="12">
        <v>0.02</v>
      </c>
      <c r="F25" s="44" t="s">
        <v>48</v>
      </c>
      <c r="G25" s="45" t="s">
        <v>48</v>
      </c>
      <c r="H25" s="45" t="s">
        <v>48</v>
      </c>
    </row>
    <row r="26">
      <c r="A26" s="9">
        <f t="shared" si="5"/>
        <v>3</v>
      </c>
      <c r="B26" s="12">
        <v>0.01</v>
      </c>
      <c r="F26" s="46" t="s">
        <v>111</v>
      </c>
      <c r="G26" s="47">
        <f>(B17/B4)^(1/B16)-1</f>
        <v>0.03131030648</v>
      </c>
      <c r="H26" s="48" t="s">
        <v>48</v>
      </c>
    </row>
    <row r="27">
      <c r="A27" s="9">
        <f t="shared" si="5"/>
        <v>4</v>
      </c>
      <c r="B27" s="12">
        <v>0.0</v>
      </c>
      <c r="F27" s="48" t="s">
        <v>112</v>
      </c>
      <c r="G27" s="47">
        <f>'Cash Flows'!C30</f>
        <v>-0.002485547592</v>
      </c>
      <c r="H27" s="48" t="s">
        <v>48</v>
      </c>
    </row>
    <row r="28">
      <c r="A28" s="9">
        <f t="shared" si="5"/>
        <v>5</v>
      </c>
      <c r="B28" s="12">
        <v>0.0</v>
      </c>
      <c r="F28" s="46" t="s">
        <v>113</v>
      </c>
      <c r="G28" s="47">
        <f>'Cash Flows'!A33</f>
        <v>0.01382072287</v>
      </c>
      <c r="H28" s="48" t="s">
        <v>48</v>
      </c>
    </row>
    <row r="29">
      <c r="F29" s="45" t="s">
        <v>48</v>
      </c>
      <c r="G29" s="45" t="s">
        <v>48</v>
      </c>
      <c r="H29" s="45" t="s">
        <v>48</v>
      </c>
    </row>
    <row r="30">
      <c r="A30" s="9" t="s">
        <v>114</v>
      </c>
      <c r="B30" s="49" t="b">
        <f>not(OR(AND(SUM(B24:B28)=0, B19=0), AND(SUM(B24:B28)&gt;0, B19&gt;0)))</f>
        <v>0</v>
      </c>
      <c r="F30" s="48" t="s">
        <v>115</v>
      </c>
      <c r="G30" s="47">
        <f>sum(B12:B14)/B4</f>
        <v>0.02958333333</v>
      </c>
      <c r="H30" s="48" t="s">
        <v>48</v>
      </c>
    </row>
    <row r="31">
      <c r="B31" s="50"/>
      <c r="F31" s="48" t="s">
        <v>48</v>
      </c>
      <c r="G31" s="48" t="s">
        <v>48</v>
      </c>
      <c r="H31" s="48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5.13"/>
    <col customWidth="1" min="2" max="32" width="12.0"/>
  </cols>
  <sheetData>
    <row r="1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</row>
    <row r="2">
      <c r="A2" s="9" t="s">
        <v>13</v>
      </c>
      <c r="B2" s="10">
        <v>0.0</v>
      </c>
      <c r="C2" s="10">
        <v>1.0</v>
      </c>
      <c r="D2" s="10">
        <v>2.0</v>
      </c>
      <c r="E2" s="10">
        <v>3.0</v>
      </c>
      <c r="F2" s="10">
        <v>4.0</v>
      </c>
      <c r="G2" s="10">
        <v>5.0</v>
      </c>
      <c r="H2" s="10">
        <v>6.0</v>
      </c>
      <c r="I2" s="10">
        <v>7.0</v>
      </c>
      <c r="J2" s="10">
        <v>8.0</v>
      </c>
      <c r="K2" s="10">
        <v>9.0</v>
      </c>
      <c r="L2" s="10">
        <v>10.0</v>
      </c>
      <c r="M2" s="10">
        <v>11.0</v>
      </c>
      <c r="N2" s="10">
        <v>12.0</v>
      </c>
      <c r="O2" s="10">
        <v>13.0</v>
      </c>
      <c r="P2" s="10">
        <v>14.0</v>
      </c>
      <c r="Q2" s="10">
        <v>15.0</v>
      </c>
      <c r="R2" s="10">
        <v>16.0</v>
      </c>
      <c r="S2" s="10">
        <v>17.0</v>
      </c>
      <c r="T2" s="10">
        <v>18.0</v>
      </c>
      <c r="U2" s="10">
        <v>19.0</v>
      </c>
      <c r="V2" s="10">
        <v>20.0</v>
      </c>
      <c r="W2" s="10">
        <v>21.0</v>
      </c>
      <c r="X2" s="10">
        <v>22.0</v>
      </c>
      <c r="Y2" s="10">
        <v>23.0</v>
      </c>
      <c r="Z2" s="10">
        <v>24.0</v>
      </c>
      <c r="AA2" s="10">
        <v>25.0</v>
      </c>
      <c r="AB2" s="10">
        <v>26.0</v>
      </c>
      <c r="AC2" s="10">
        <v>27.0</v>
      </c>
      <c r="AD2" s="10">
        <v>28.0</v>
      </c>
      <c r="AE2" s="10">
        <v>29.0</v>
      </c>
      <c r="AF2" s="10">
        <v>30.0</v>
      </c>
    </row>
    <row r="3">
      <c r="A3" s="13" t="s">
        <v>21</v>
      </c>
      <c r="B3" s="15" t="s">
        <v>24</v>
      </c>
      <c r="C3" s="15" t="s">
        <v>26</v>
      </c>
      <c r="D3" s="15" t="s">
        <v>27</v>
      </c>
      <c r="E3" s="15" t="s">
        <v>28</v>
      </c>
      <c r="F3" s="15" t="s">
        <v>29</v>
      </c>
      <c r="G3" s="15" t="s">
        <v>30</v>
      </c>
      <c r="H3" s="15" t="s">
        <v>31</v>
      </c>
      <c r="I3" s="15" t="s">
        <v>32</v>
      </c>
      <c r="J3" s="15" t="s">
        <v>33</v>
      </c>
      <c r="K3" s="15" t="s">
        <v>34</v>
      </c>
      <c r="L3" s="15" t="s">
        <v>35</v>
      </c>
      <c r="M3" s="15" t="s">
        <v>36</v>
      </c>
      <c r="N3" s="15" t="s">
        <v>37</v>
      </c>
      <c r="O3" s="15" t="s">
        <v>38</v>
      </c>
      <c r="P3" s="15" t="s">
        <v>39</v>
      </c>
      <c r="Q3" s="15" t="s">
        <v>40</v>
      </c>
      <c r="R3" s="15" t="s">
        <v>41</v>
      </c>
      <c r="S3" s="15" t="s">
        <v>42</v>
      </c>
      <c r="T3" s="15" t="s">
        <v>44</v>
      </c>
      <c r="U3" s="15" t="s">
        <v>45</v>
      </c>
      <c r="V3" s="15" t="s">
        <v>46</v>
      </c>
      <c r="W3" s="15" t="s">
        <v>49</v>
      </c>
      <c r="X3" s="15" t="s">
        <v>50</v>
      </c>
      <c r="Y3" s="15" t="s">
        <v>51</v>
      </c>
      <c r="Z3" s="15" t="s">
        <v>52</v>
      </c>
      <c r="AA3" s="15" t="s">
        <v>54</v>
      </c>
      <c r="AB3" s="15" t="s">
        <v>55</v>
      </c>
      <c r="AC3" s="15" t="s">
        <v>58</v>
      </c>
      <c r="AD3" s="15" t="s">
        <v>60</v>
      </c>
      <c r="AE3" s="15" t="s">
        <v>61</v>
      </c>
      <c r="AF3" s="15" t="s">
        <v>64</v>
      </c>
    </row>
    <row r="4">
      <c r="A4" s="23" t="s">
        <v>67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</row>
    <row r="5">
      <c r="A5" s="9" t="s">
        <v>79</v>
      </c>
      <c r="B5" s="27">
        <v>0.0</v>
      </c>
      <c r="C5" s="35">
        <f>IF(C$2&lt;=Assumptions!$B$16, Assumptions!$B$10 * (1 + Assumptions!$B$15)^(C$2-1), 0)</f>
        <v>45000</v>
      </c>
      <c r="D5" s="35">
        <f>IF(D$2&lt;=Assumptions!$B$16, Assumptions!$B$10 * (1 + Assumptions!$B$15)^(D$2-1), 0)</f>
        <v>46350</v>
      </c>
      <c r="E5" s="35">
        <f>IF(E$2&lt;=Assumptions!$B$16, Assumptions!$B$10 * (1 + Assumptions!$B$15)^(E$2-1), 0)</f>
        <v>47740.5</v>
      </c>
      <c r="F5" s="35">
        <f>IF(F$2&lt;=Assumptions!$B$16, Assumptions!$B$10 * (1 + Assumptions!$B$15)^(F$2-1), 0)</f>
        <v>49172.715</v>
      </c>
      <c r="G5" s="35">
        <f>IF(G$2&lt;=Assumptions!$B$16, Assumptions!$B$10 * (1 + Assumptions!$B$15)^(G$2-1), 0)</f>
        <v>50647.89645</v>
      </c>
      <c r="H5" s="35">
        <f>IF(H$2&lt;=Assumptions!$B$16, Assumptions!$B$10 * (1 + Assumptions!$B$15)^(H$2-1), 0)</f>
        <v>0</v>
      </c>
      <c r="I5" s="35">
        <f>IF(I$2&lt;=Assumptions!$B$16, Assumptions!$B$10 * (1 + Assumptions!$B$15)^(I$2-1), 0)</f>
        <v>0</v>
      </c>
      <c r="J5" s="35">
        <f>IF(J$2&lt;=Assumptions!$B$16, Assumptions!$B$10 * (1 + Assumptions!$B$15)^(J$2-1), 0)</f>
        <v>0</v>
      </c>
      <c r="K5" s="35">
        <f>IF(K$2&lt;=Assumptions!$B$16, Assumptions!$B$10 * (1 + Assumptions!$B$15)^(K$2-1), 0)</f>
        <v>0</v>
      </c>
      <c r="L5" s="35">
        <f>IF(L$2&lt;=Assumptions!$B$16, Assumptions!$B$10 * (1 + Assumptions!$B$15)^(L$2-1), 0)</f>
        <v>0</v>
      </c>
      <c r="M5" s="35">
        <f>IF(M$2&lt;=Assumptions!$B$16, Assumptions!$B$10 * (1 + Assumptions!$B$15)^(M$2-1), 0)</f>
        <v>0</v>
      </c>
      <c r="N5" s="35">
        <f>IF(N$2&lt;=Assumptions!$B$16, Assumptions!$B$10 * (1 + Assumptions!$B$15)^(N$2-1), 0)</f>
        <v>0</v>
      </c>
      <c r="O5" s="35">
        <f>IF(O$2&lt;=Assumptions!$B$16, Assumptions!$B$10 * (1 + Assumptions!$B$15)^(O$2-1), 0)</f>
        <v>0</v>
      </c>
      <c r="P5" s="35">
        <f>IF(P$2&lt;=Assumptions!$B$16, Assumptions!$B$10 * (1 + Assumptions!$B$15)^(P$2-1), 0)</f>
        <v>0</v>
      </c>
      <c r="Q5" s="35">
        <f>IF(Q$2&lt;=Assumptions!$B$16, Assumptions!$B$10 * (1 + Assumptions!$B$15)^(Q$2-1), 0)</f>
        <v>0</v>
      </c>
      <c r="R5" s="35">
        <f>IF(R$2&lt;=Assumptions!$B$16, Assumptions!$B$10 * (1 + Assumptions!$B$15)^(R$2-1), 0)</f>
        <v>0</v>
      </c>
      <c r="S5" s="35">
        <f>IF(S$2&lt;=Assumptions!$B$16, Assumptions!$B$10 * (1 + Assumptions!$B$15)^(S$2-1), 0)</f>
        <v>0</v>
      </c>
      <c r="T5" s="35">
        <f>IF(T$2&lt;=Assumptions!$B$16, Assumptions!$B$10 * (1 + Assumptions!$B$15)^(T$2-1), 0)</f>
        <v>0</v>
      </c>
      <c r="U5" s="35">
        <f>IF(U$2&lt;=Assumptions!$B$16, Assumptions!$B$10 * (1 + Assumptions!$B$15)^(U$2-1), 0)</f>
        <v>0</v>
      </c>
      <c r="V5" s="35">
        <f>IF(V$2&lt;=Assumptions!$B$16, Assumptions!$B$10 * (1 + Assumptions!$B$15)^(V$2-1), 0)</f>
        <v>0</v>
      </c>
      <c r="W5" s="35">
        <f>IF(W$2&lt;=Assumptions!$B$16, Assumptions!$B$10 * (1 + Assumptions!$B$15)^(W$2-1), 0)</f>
        <v>0</v>
      </c>
      <c r="X5" s="35">
        <f>IF(X$2&lt;=Assumptions!$B$16, Assumptions!$B$10 * (1 + Assumptions!$B$15)^(X$2-1), 0)</f>
        <v>0</v>
      </c>
      <c r="Y5" s="35">
        <f>IF(Y$2&lt;=Assumptions!$B$16, Assumptions!$B$10 * (1 + Assumptions!$B$15)^(Y$2-1), 0)</f>
        <v>0</v>
      </c>
      <c r="Z5" s="35">
        <f>IF(Z$2&lt;=Assumptions!$B$16, Assumptions!$B$10 * (1 + Assumptions!$B$15)^(Z$2-1), 0)</f>
        <v>0</v>
      </c>
      <c r="AA5" s="35">
        <f>IF(AA$2&lt;=Assumptions!$B$16, Assumptions!$B$10 * (1 + Assumptions!$B$15)^(AA$2-1), 0)</f>
        <v>0</v>
      </c>
      <c r="AB5" s="35">
        <f>IF(AB$2&lt;=Assumptions!$B$16, Assumptions!$B$10 * (1 + Assumptions!$B$15)^(AB$2-1), 0)</f>
        <v>0</v>
      </c>
      <c r="AC5" s="35">
        <f>IF(AC$2&lt;=Assumptions!$B$16, Assumptions!$B$10 * (1 + Assumptions!$B$15)^(AC$2-1), 0)</f>
        <v>0</v>
      </c>
      <c r="AD5" s="35">
        <f>IF(AD$2&lt;=Assumptions!$B$16, Assumptions!$B$10 * (1 + Assumptions!$B$15)^(AD$2-1), 0)</f>
        <v>0</v>
      </c>
      <c r="AE5" s="35">
        <f>IF(AE$2&lt;=Assumptions!$B$16, Assumptions!$B$10 * (1 + Assumptions!$B$15)^(AE$2-1), 0)</f>
        <v>0</v>
      </c>
      <c r="AF5" s="35">
        <f>IF(AF$2&lt;=Assumptions!$B$16, Assumptions!$B$10 * (1 + Assumptions!$B$15)^(AF$2-1), 0)</f>
        <v>0</v>
      </c>
    </row>
    <row r="6">
      <c r="A6" s="9" t="s">
        <v>116</v>
      </c>
      <c r="B6" s="27">
        <v>0.0</v>
      </c>
      <c r="C6" s="35">
        <f>-C5*Assumptions!$B$11</f>
        <v>-2250</v>
      </c>
      <c r="D6" s="35">
        <f>-D5*Assumptions!$B$11</f>
        <v>-2317.5</v>
      </c>
      <c r="E6" s="35">
        <f>-E5*Assumptions!$B$11</f>
        <v>-2387.025</v>
      </c>
      <c r="F6" s="35">
        <f>-F5*Assumptions!$B$11</f>
        <v>-2458.63575</v>
      </c>
      <c r="G6" s="35">
        <f>-G5*Assumptions!$B$11</f>
        <v>-2532.394823</v>
      </c>
      <c r="H6" s="35">
        <f>-H5*Assumptions!$B$11</f>
        <v>0</v>
      </c>
      <c r="I6" s="35">
        <f>-I5*Assumptions!$B$11</f>
        <v>0</v>
      </c>
      <c r="J6" s="35">
        <f>-J5*Assumptions!$B$11</f>
        <v>0</v>
      </c>
      <c r="K6" s="35">
        <f>-K5*Assumptions!$B$11</f>
        <v>0</v>
      </c>
      <c r="L6" s="35">
        <f>-L5*Assumptions!$B$11</f>
        <v>0</v>
      </c>
      <c r="M6" s="35">
        <f>-M5*Assumptions!$B$11</f>
        <v>0</v>
      </c>
      <c r="N6" s="35">
        <f>-N5*Assumptions!$B$11</f>
        <v>0</v>
      </c>
      <c r="O6" s="35">
        <f>-O5*Assumptions!$B$11</f>
        <v>0</v>
      </c>
      <c r="P6" s="35">
        <f>-P5*Assumptions!$B$11</f>
        <v>0</v>
      </c>
      <c r="Q6" s="35">
        <f>-Q5*Assumptions!$B$11</f>
        <v>0</v>
      </c>
      <c r="R6" s="35">
        <f>-R5*Assumptions!$B$11</f>
        <v>0</v>
      </c>
      <c r="S6" s="35">
        <f>-S5*Assumptions!$B$11</f>
        <v>0</v>
      </c>
      <c r="T6" s="35">
        <f>-T5*Assumptions!$B$11</f>
        <v>0</v>
      </c>
      <c r="U6" s="35">
        <f>-U5*Assumptions!$B$11</f>
        <v>0</v>
      </c>
      <c r="V6" s="35">
        <f>-V5*Assumptions!$B$11</f>
        <v>0</v>
      </c>
      <c r="W6" s="35">
        <f>-W5*Assumptions!$B$11</f>
        <v>0</v>
      </c>
      <c r="X6" s="35">
        <f>-X5*Assumptions!$B$11</f>
        <v>0</v>
      </c>
      <c r="Y6" s="35">
        <f>-Y5*Assumptions!$B$11</f>
        <v>0</v>
      </c>
      <c r="Z6" s="35">
        <f>-Z5*Assumptions!$B$11</f>
        <v>0</v>
      </c>
      <c r="AA6" s="35">
        <f>-AA5*Assumptions!$B$11</f>
        <v>0</v>
      </c>
      <c r="AB6" s="35">
        <f>-AB5*Assumptions!$B$11</f>
        <v>0</v>
      </c>
      <c r="AC6" s="35">
        <f>-AC5*Assumptions!$B$11</f>
        <v>0</v>
      </c>
      <c r="AD6" s="35">
        <f>-AD5*Assumptions!$B$11</f>
        <v>0</v>
      </c>
      <c r="AE6" s="35">
        <f>-AE5*Assumptions!$B$11</f>
        <v>0</v>
      </c>
      <c r="AF6" s="35">
        <f>-AF5*Assumptions!$B$11</f>
        <v>0</v>
      </c>
    </row>
    <row r="7">
      <c r="A7" s="41" t="s">
        <v>117</v>
      </c>
      <c r="B7" s="51">
        <v>0.0</v>
      </c>
      <c r="C7" s="52">
        <f t="shared" ref="C7:AF7" si="1">C5+C6</f>
        <v>42750</v>
      </c>
      <c r="D7" s="52">
        <f t="shared" si="1"/>
        <v>44032.5</v>
      </c>
      <c r="E7" s="52">
        <f t="shared" si="1"/>
        <v>45353.475</v>
      </c>
      <c r="F7" s="52">
        <f t="shared" si="1"/>
        <v>46714.07925</v>
      </c>
      <c r="G7" s="52">
        <f t="shared" si="1"/>
        <v>48115.50163</v>
      </c>
      <c r="H7" s="52">
        <f t="shared" si="1"/>
        <v>0</v>
      </c>
      <c r="I7" s="52">
        <f t="shared" si="1"/>
        <v>0</v>
      </c>
      <c r="J7" s="52">
        <f t="shared" si="1"/>
        <v>0</v>
      </c>
      <c r="K7" s="52">
        <f t="shared" si="1"/>
        <v>0</v>
      </c>
      <c r="L7" s="52">
        <f t="shared" si="1"/>
        <v>0</v>
      </c>
      <c r="M7" s="52">
        <f t="shared" si="1"/>
        <v>0</v>
      </c>
      <c r="N7" s="52">
        <f t="shared" si="1"/>
        <v>0</v>
      </c>
      <c r="O7" s="52">
        <f t="shared" si="1"/>
        <v>0</v>
      </c>
      <c r="P7" s="52">
        <f t="shared" si="1"/>
        <v>0</v>
      </c>
      <c r="Q7" s="52">
        <f t="shared" si="1"/>
        <v>0</v>
      </c>
      <c r="R7" s="52">
        <f t="shared" si="1"/>
        <v>0</v>
      </c>
      <c r="S7" s="52">
        <f t="shared" si="1"/>
        <v>0</v>
      </c>
      <c r="T7" s="52">
        <f t="shared" si="1"/>
        <v>0</v>
      </c>
      <c r="U7" s="52">
        <f t="shared" si="1"/>
        <v>0</v>
      </c>
      <c r="V7" s="52">
        <f t="shared" si="1"/>
        <v>0</v>
      </c>
      <c r="W7" s="52">
        <f t="shared" si="1"/>
        <v>0</v>
      </c>
      <c r="X7" s="52">
        <f t="shared" si="1"/>
        <v>0</v>
      </c>
      <c r="Y7" s="52">
        <f t="shared" si="1"/>
        <v>0</v>
      </c>
      <c r="Z7" s="52">
        <f t="shared" si="1"/>
        <v>0</v>
      </c>
      <c r="AA7" s="52">
        <f t="shared" si="1"/>
        <v>0</v>
      </c>
      <c r="AB7" s="52">
        <f t="shared" si="1"/>
        <v>0</v>
      </c>
      <c r="AC7" s="52">
        <f t="shared" si="1"/>
        <v>0</v>
      </c>
      <c r="AD7" s="52">
        <f t="shared" si="1"/>
        <v>0</v>
      </c>
      <c r="AE7" s="52">
        <f t="shared" si="1"/>
        <v>0</v>
      </c>
      <c r="AF7" s="52">
        <f t="shared" si="1"/>
        <v>0</v>
      </c>
    </row>
    <row r="8">
      <c r="A8" s="9" t="s">
        <v>118</v>
      </c>
      <c r="B8" s="27">
        <v>0.0</v>
      </c>
      <c r="C8" s="35">
        <f>IF(C$2&lt;=Assumptions!$B$16, -Assumptions!$B$12 * (1 + Assumptions!$B$15)^(C$2-1), 0)</f>
        <v>-7200</v>
      </c>
      <c r="D8" s="35">
        <f>IF(D$2&lt;=Assumptions!$B$16, -Assumptions!$B$12 * (1 + Assumptions!$B$15)^(D$2-1), 0)</f>
        <v>-7416</v>
      </c>
      <c r="E8" s="35">
        <f>IF(E$2&lt;=Assumptions!$B$16, -Assumptions!$B$12 * (1 + Assumptions!$B$15)^(E$2-1), 0)</f>
        <v>-7638.48</v>
      </c>
      <c r="F8" s="35">
        <f>IF(F$2&lt;=Assumptions!$B$16, -Assumptions!$B$12 * (1 + Assumptions!$B$15)^(F$2-1), 0)</f>
        <v>-7867.6344</v>
      </c>
      <c r="G8" s="35">
        <f>IF(G$2&lt;=Assumptions!$B$16, -Assumptions!$B$12 * (1 + Assumptions!$B$15)^(G$2-1), 0)</f>
        <v>-8103.663432</v>
      </c>
      <c r="H8" s="35">
        <f>IF(H$2&lt;=Assumptions!$B$16, -Assumptions!$B$12 * (1 + Assumptions!$B$15)^(H$2-1), 0)</f>
        <v>0</v>
      </c>
      <c r="I8" s="35">
        <f>IF(I$2&lt;=Assumptions!$B$16, -Assumptions!$B$12 * (1 + Assumptions!$B$15)^(I$2-1), 0)</f>
        <v>0</v>
      </c>
      <c r="J8" s="35">
        <f>IF(J$2&lt;=Assumptions!$B$16, -Assumptions!$B$12 * (1 + Assumptions!$B$15)^(J$2-1), 0)</f>
        <v>0</v>
      </c>
      <c r="K8" s="35">
        <f>IF(K$2&lt;=Assumptions!$B$16, -Assumptions!$B$12 * (1 + Assumptions!$B$15)^(K$2-1), 0)</f>
        <v>0</v>
      </c>
      <c r="L8" s="35">
        <f>IF(L$2&lt;=Assumptions!$B$16, -Assumptions!$B$12 * (1 + Assumptions!$B$15)^(L$2-1), 0)</f>
        <v>0</v>
      </c>
      <c r="M8" s="35">
        <f>IF(M$2&lt;=Assumptions!$B$16, -Assumptions!$B$12 * (1 + Assumptions!$B$15)^(M$2-1), 0)</f>
        <v>0</v>
      </c>
      <c r="N8" s="35">
        <f>IF(N$2&lt;=Assumptions!$B$16, -Assumptions!$B$12 * (1 + Assumptions!$B$15)^(N$2-1), 0)</f>
        <v>0</v>
      </c>
      <c r="O8" s="35">
        <f>IF(O$2&lt;=Assumptions!$B$16, -Assumptions!$B$12 * (1 + Assumptions!$B$15)^(O$2-1), 0)</f>
        <v>0</v>
      </c>
      <c r="P8" s="35">
        <f>IF(P$2&lt;=Assumptions!$B$16, -Assumptions!$B$12 * (1 + Assumptions!$B$15)^(P$2-1), 0)</f>
        <v>0</v>
      </c>
      <c r="Q8" s="35">
        <f>IF(Q$2&lt;=Assumptions!$B$16, -Assumptions!$B$12 * (1 + Assumptions!$B$15)^(Q$2-1), 0)</f>
        <v>0</v>
      </c>
      <c r="R8" s="35">
        <f>IF(R$2&lt;=Assumptions!$B$16, -Assumptions!$B$12 * (1 + Assumptions!$B$15)^(R$2-1), 0)</f>
        <v>0</v>
      </c>
      <c r="S8" s="35">
        <f>IF(S$2&lt;=Assumptions!$B$16, -Assumptions!$B$12 * (1 + Assumptions!$B$15)^(S$2-1), 0)</f>
        <v>0</v>
      </c>
      <c r="T8" s="35">
        <f>IF(T$2&lt;=Assumptions!$B$16, -Assumptions!$B$12 * (1 + Assumptions!$B$15)^(T$2-1), 0)</f>
        <v>0</v>
      </c>
      <c r="U8" s="35">
        <f>IF(U$2&lt;=Assumptions!$B$16, -Assumptions!$B$12 * (1 + Assumptions!$B$15)^(U$2-1), 0)</f>
        <v>0</v>
      </c>
      <c r="V8" s="35">
        <f>IF(V$2&lt;=Assumptions!$B$16, -Assumptions!$B$12 * (1 + Assumptions!$B$15)^(V$2-1), 0)</f>
        <v>0</v>
      </c>
      <c r="W8" s="35">
        <f>IF(W$2&lt;=Assumptions!$B$16, -Assumptions!$B$12 * (1 + Assumptions!$B$15)^(W$2-1), 0)</f>
        <v>0</v>
      </c>
      <c r="X8" s="35">
        <f>IF(X$2&lt;=Assumptions!$B$16, -Assumptions!$B$12 * (1 + Assumptions!$B$15)^(X$2-1), 0)</f>
        <v>0</v>
      </c>
      <c r="Y8" s="35">
        <f>IF(Y$2&lt;=Assumptions!$B$16, -Assumptions!$B$12 * (1 + Assumptions!$B$15)^(Y$2-1), 0)</f>
        <v>0</v>
      </c>
      <c r="Z8" s="35">
        <f>IF(Z$2&lt;=Assumptions!$B$16, -Assumptions!$B$12 * (1 + Assumptions!$B$15)^(Z$2-1), 0)</f>
        <v>0</v>
      </c>
      <c r="AA8" s="35">
        <f>IF(AA$2&lt;=Assumptions!$B$16, -Assumptions!$B$12 * (1 + Assumptions!$B$15)^(AA$2-1), 0)</f>
        <v>0</v>
      </c>
      <c r="AB8" s="35">
        <f>IF(AB$2&lt;=Assumptions!$B$16, -Assumptions!$B$12 * (1 + Assumptions!$B$15)^(AB$2-1), 0)</f>
        <v>0</v>
      </c>
      <c r="AC8" s="35">
        <f>IF(AC$2&lt;=Assumptions!$B$16, -Assumptions!$B$12 * (1 + Assumptions!$B$15)^(AC$2-1), 0)</f>
        <v>0</v>
      </c>
      <c r="AD8" s="35">
        <f>IF(AD$2&lt;=Assumptions!$B$16, -Assumptions!$B$12 * (1 + Assumptions!$B$15)^(AD$2-1), 0)</f>
        <v>0</v>
      </c>
      <c r="AE8" s="35">
        <f>IF(AE$2&lt;=Assumptions!$B$16, -Assumptions!$B$12 * (1 + Assumptions!$B$15)^(AE$2-1), 0)</f>
        <v>0</v>
      </c>
      <c r="AF8" s="35">
        <f>IF(AF$2&lt;=Assumptions!$B$16, -Assumptions!$B$12 * (1 + Assumptions!$B$15)^(AF$2-1), 0)</f>
        <v>0</v>
      </c>
    </row>
    <row r="9">
      <c r="A9" s="9" t="s">
        <v>119</v>
      </c>
      <c r="B9" s="27">
        <v>0.0</v>
      </c>
      <c r="C9" s="35">
        <f>IF(C$2&lt;=Assumptions!$B$16, -Assumptions!$B$13 * (1 + Assumptions!$B$15)^(C$2-1), 0)</f>
        <v>-4000</v>
      </c>
      <c r="D9" s="35">
        <f>IF(D$2&lt;=Assumptions!$B$16, -Assumptions!$B$13 * (1 + Assumptions!$B$15)^(D$2-1), 0)</f>
        <v>-4120</v>
      </c>
      <c r="E9" s="35">
        <f>IF(E$2&lt;=Assumptions!$B$16, -Assumptions!$B$13 * (1 + Assumptions!$B$15)^(E$2-1), 0)</f>
        <v>-4243.6</v>
      </c>
      <c r="F9" s="35">
        <f>IF(F$2&lt;=Assumptions!$B$16, -Assumptions!$B$13 * (1 + Assumptions!$B$15)^(F$2-1), 0)</f>
        <v>-4370.908</v>
      </c>
      <c r="G9" s="35">
        <f>IF(G$2&lt;=Assumptions!$B$16, -Assumptions!$B$13 * (1 + Assumptions!$B$15)^(G$2-1), 0)</f>
        <v>-4502.03524</v>
      </c>
      <c r="H9" s="35">
        <f>IF(H$2&lt;=Assumptions!$B$16, -Assumptions!$B$13 * (1 + Assumptions!$B$15)^(H$2-1), 0)</f>
        <v>0</v>
      </c>
      <c r="I9" s="35">
        <f>IF(I$2&lt;=Assumptions!$B$16, -Assumptions!$B$13 * (1 + Assumptions!$B$15)^(I$2-1), 0)</f>
        <v>0</v>
      </c>
      <c r="J9" s="35">
        <f>IF(J$2&lt;=Assumptions!$B$16, -Assumptions!$B$13 * (1 + Assumptions!$B$15)^(J$2-1), 0)</f>
        <v>0</v>
      </c>
      <c r="K9" s="35">
        <f>IF(K$2&lt;=Assumptions!$B$16, -Assumptions!$B$13 * (1 + Assumptions!$B$15)^(K$2-1), 0)</f>
        <v>0</v>
      </c>
      <c r="L9" s="35">
        <f>IF(L$2&lt;=Assumptions!$B$16, -Assumptions!$B$13 * (1 + Assumptions!$B$15)^(L$2-1), 0)</f>
        <v>0</v>
      </c>
      <c r="M9" s="35">
        <f>IF(M$2&lt;=Assumptions!$B$16, -Assumptions!$B$13 * (1 + Assumptions!$B$15)^(M$2-1), 0)</f>
        <v>0</v>
      </c>
      <c r="N9" s="35">
        <f>IF(N$2&lt;=Assumptions!$B$16, -Assumptions!$B$13 * (1 + Assumptions!$B$15)^(N$2-1), 0)</f>
        <v>0</v>
      </c>
      <c r="O9" s="35">
        <f>IF(O$2&lt;=Assumptions!$B$16, -Assumptions!$B$13 * (1 + Assumptions!$B$15)^(O$2-1), 0)</f>
        <v>0</v>
      </c>
      <c r="P9" s="35">
        <f>IF(P$2&lt;=Assumptions!$B$16, -Assumptions!$B$13 * (1 + Assumptions!$B$15)^(P$2-1), 0)</f>
        <v>0</v>
      </c>
      <c r="Q9" s="35">
        <f>IF(Q$2&lt;=Assumptions!$B$16, -Assumptions!$B$13 * (1 + Assumptions!$B$15)^(Q$2-1), 0)</f>
        <v>0</v>
      </c>
      <c r="R9" s="35">
        <f>IF(R$2&lt;=Assumptions!$B$16, -Assumptions!$B$13 * (1 + Assumptions!$B$15)^(R$2-1), 0)</f>
        <v>0</v>
      </c>
      <c r="S9" s="35">
        <f>IF(S$2&lt;=Assumptions!$B$16, -Assumptions!$B$13 * (1 + Assumptions!$B$15)^(S$2-1), 0)</f>
        <v>0</v>
      </c>
      <c r="T9" s="35">
        <f>IF(T$2&lt;=Assumptions!$B$16, -Assumptions!$B$13 * (1 + Assumptions!$B$15)^(T$2-1), 0)</f>
        <v>0</v>
      </c>
      <c r="U9" s="35">
        <f>IF(U$2&lt;=Assumptions!$B$16, -Assumptions!$B$13 * (1 + Assumptions!$B$15)^(U$2-1), 0)</f>
        <v>0</v>
      </c>
      <c r="V9" s="35">
        <f>IF(V$2&lt;=Assumptions!$B$16, -Assumptions!$B$13 * (1 + Assumptions!$B$15)^(V$2-1), 0)</f>
        <v>0</v>
      </c>
      <c r="W9" s="35">
        <f>IF(W$2&lt;=Assumptions!$B$16, -Assumptions!$B$13 * (1 + Assumptions!$B$15)^(W$2-1), 0)</f>
        <v>0</v>
      </c>
      <c r="X9" s="35">
        <f>IF(X$2&lt;=Assumptions!$B$16, -Assumptions!$B$13 * (1 + Assumptions!$B$15)^(X$2-1), 0)</f>
        <v>0</v>
      </c>
      <c r="Y9" s="35">
        <f>IF(Y$2&lt;=Assumptions!$B$16, -Assumptions!$B$13 * (1 + Assumptions!$B$15)^(Y$2-1), 0)</f>
        <v>0</v>
      </c>
      <c r="Z9" s="35">
        <f>IF(Z$2&lt;=Assumptions!$B$16, -Assumptions!$B$13 * (1 + Assumptions!$B$15)^(Z$2-1), 0)</f>
        <v>0</v>
      </c>
      <c r="AA9" s="35">
        <f>IF(AA$2&lt;=Assumptions!$B$16, -Assumptions!$B$13 * (1 + Assumptions!$B$15)^(AA$2-1), 0)</f>
        <v>0</v>
      </c>
      <c r="AB9" s="35">
        <f>IF(AB$2&lt;=Assumptions!$B$16, -Assumptions!$B$13 * (1 + Assumptions!$B$15)^(AB$2-1), 0)</f>
        <v>0</v>
      </c>
      <c r="AC9" s="35">
        <f>IF(AC$2&lt;=Assumptions!$B$16, -Assumptions!$B$13 * (1 + Assumptions!$B$15)^(AC$2-1), 0)</f>
        <v>0</v>
      </c>
      <c r="AD9" s="35">
        <f>IF(AD$2&lt;=Assumptions!$B$16, -Assumptions!$B$13 * (1 + Assumptions!$B$15)^(AD$2-1), 0)</f>
        <v>0</v>
      </c>
      <c r="AE9" s="35">
        <f>IF(AE$2&lt;=Assumptions!$B$16, -Assumptions!$B$13 * (1 + Assumptions!$B$15)^(AE$2-1), 0)</f>
        <v>0</v>
      </c>
      <c r="AF9" s="35">
        <f>IF(AF$2&lt;=Assumptions!$B$16, -Assumptions!$B$13 * (1 + Assumptions!$B$15)^(AF$2-1), 0)</f>
        <v>0</v>
      </c>
    </row>
    <row r="10">
      <c r="A10" s="9" t="s">
        <v>120</v>
      </c>
      <c r="B10" s="27">
        <v>0.0</v>
      </c>
      <c r="C10" s="35">
        <f>IF(C$2&lt;=Assumptions!$B$16, -Assumptions!$B$14 * (1 + Assumptions!$B$15)^(C$2-1), 0)</f>
        <v>-3000</v>
      </c>
      <c r="D10" s="35">
        <f>IF(D$2&lt;=Assumptions!$B$16, -Assumptions!$B$14 * (1 + Assumptions!$B$15)^(D$2-1), 0)</f>
        <v>-3090</v>
      </c>
      <c r="E10" s="35">
        <f>IF(E$2&lt;=Assumptions!$B$16, -Assumptions!$B$14 * (1 + Assumptions!$B$15)^(E$2-1), 0)</f>
        <v>-3182.7</v>
      </c>
      <c r="F10" s="35">
        <f>IF(F$2&lt;=Assumptions!$B$16, -Assumptions!$B$14 * (1 + Assumptions!$B$15)^(F$2-1), 0)</f>
        <v>-3278.181</v>
      </c>
      <c r="G10" s="35">
        <f>IF(G$2&lt;=Assumptions!$B$16, -Assumptions!$B$14 * (1 + Assumptions!$B$15)^(G$2-1), 0)</f>
        <v>-3376.52643</v>
      </c>
      <c r="H10" s="35">
        <f>IF(H$2&lt;=Assumptions!$B$16, -Assumptions!$B$14 * (1 + Assumptions!$B$15)^(H$2-1), 0)</f>
        <v>0</v>
      </c>
      <c r="I10" s="35">
        <f>IF(I$2&lt;=Assumptions!$B$16, -Assumptions!$B$14 * (1 + Assumptions!$B$15)^(I$2-1), 0)</f>
        <v>0</v>
      </c>
      <c r="J10" s="35">
        <f>IF(J$2&lt;=Assumptions!$B$16, -Assumptions!$B$14 * (1 + Assumptions!$B$15)^(J$2-1), 0)</f>
        <v>0</v>
      </c>
      <c r="K10" s="35">
        <f>IF(K$2&lt;=Assumptions!$B$16, -Assumptions!$B$14 * (1 + Assumptions!$B$15)^(K$2-1), 0)</f>
        <v>0</v>
      </c>
      <c r="L10" s="35">
        <f>IF(L$2&lt;=Assumptions!$B$16, -Assumptions!$B$14 * (1 + Assumptions!$B$15)^(L$2-1), 0)</f>
        <v>0</v>
      </c>
      <c r="M10" s="35">
        <f>IF(M$2&lt;=Assumptions!$B$16, -Assumptions!$B$14 * (1 + Assumptions!$B$15)^(M$2-1), 0)</f>
        <v>0</v>
      </c>
      <c r="N10" s="35">
        <f>IF(N$2&lt;=Assumptions!$B$16, -Assumptions!$B$14 * (1 + Assumptions!$B$15)^(N$2-1), 0)</f>
        <v>0</v>
      </c>
      <c r="O10" s="35">
        <f>IF(O$2&lt;=Assumptions!$B$16, -Assumptions!$B$14 * (1 + Assumptions!$B$15)^(O$2-1), 0)</f>
        <v>0</v>
      </c>
      <c r="P10" s="35">
        <f>IF(P$2&lt;=Assumptions!$B$16, -Assumptions!$B$14 * (1 + Assumptions!$B$15)^(P$2-1), 0)</f>
        <v>0</v>
      </c>
      <c r="Q10" s="35">
        <f>IF(Q$2&lt;=Assumptions!$B$16, -Assumptions!$B$14 * (1 + Assumptions!$B$15)^(Q$2-1), 0)</f>
        <v>0</v>
      </c>
      <c r="R10" s="35">
        <f>IF(R$2&lt;=Assumptions!$B$16, -Assumptions!$B$14 * (1 + Assumptions!$B$15)^(R$2-1), 0)</f>
        <v>0</v>
      </c>
      <c r="S10" s="35">
        <f>IF(S$2&lt;=Assumptions!$B$16, -Assumptions!$B$14 * (1 + Assumptions!$B$15)^(S$2-1), 0)</f>
        <v>0</v>
      </c>
      <c r="T10" s="35">
        <f>IF(T$2&lt;=Assumptions!$B$16, -Assumptions!$B$14 * (1 + Assumptions!$B$15)^(T$2-1), 0)</f>
        <v>0</v>
      </c>
      <c r="U10" s="35">
        <f>IF(U$2&lt;=Assumptions!$B$16, -Assumptions!$B$14 * (1 + Assumptions!$B$15)^(U$2-1), 0)</f>
        <v>0</v>
      </c>
      <c r="V10" s="35">
        <f>IF(V$2&lt;=Assumptions!$B$16, -Assumptions!$B$14 * (1 + Assumptions!$B$15)^(V$2-1), 0)</f>
        <v>0</v>
      </c>
      <c r="W10" s="35">
        <f>IF(W$2&lt;=Assumptions!$B$16, -Assumptions!$B$14 * (1 + Assumptions!$B$15)^(W$2-1), 0)</f>
        <v>0</v>
      </c>
      <c r="X10" s="35">
        <f>IF(X$2&lt;=Assumptions!$B$16, -Assumptions!$B$14 * (1 + Assumptions!$B$15)^(X$2-1), 0)</f>
        <v>0</v>
      </c>
      <c r="Y10" s="35">
        <f>IF(Y$2&lt;=Assumptions!$B$16, -Assumptions!$B$14 * (1 + Assumptions!$B$15)^(Y$2-1), 0)</f>
        <v>0</v>
      </c>
      <c r="Z10" s="35">
        <f>IF(Z$2&lt;=Assumptions!$B$16, -Assumptions!$B$14 * (1 + Assumptions!$B$15)^(Z$2-1), 0)</f>
        <v>0</v>
      </c>
      <c r="AA10" s="35">
        <f>IF(AA$2&lt;=Assumptions!$B$16, -Assumptions!$B$14 * (1 + Assumptions!$B$15)^(AA$2-1), 0)</f>
        <v>0</v>
      </c>
      <c r="AB10" s="35">
        <f>IF(AB$2&lt;=Assumptions!$B$16, -Assumptions!$B$14 * (1 + Assumptions!$B$15)^(AB$2-1), 0)</f>
        <v>0</v>
      </c>
      <c r="AC10" s="35">
        <f>IF(AC$2&lt;=Assumptions!$B$16, -Assumptions!$B$14 * (1 + Assumptions!$B$15)^(AC$2-1), 0)</f>
        <v>0</v>
      </c>
      <c r="AD10" s="35">
        <f>IF(AD$2&lt;=Assumptions!$B$16, -Assumptions!$B$14 * (1 + Assumptions!$B$15)^(AD$2-1), 0)</f>
        <v>0</v>
      </c>
      <c r="AE10" s="35">
        <f>IF(AE$2&lt;=Assumptions!$B$16, -Assumptions!$B$14 * (1 + Assumptions!$B$15)^(AE$2-1), 0)</f>
        <v>0</v>
      </c>
      <c r="AF10" s="35">
        <f>IF(AF$2&lt;=Assumptions!$B$16, -Assumptions!$B$14 * (1 + Assumptions!$B$15)^(AF$2-1), 0)</f>
        <v>0</v>
      </c>
    </row>
    <row r="11">
      <c r="A11" s="53" t="s">
        <v>121</v>
      </c>
      <c r="B11" s="54">
        <v>0.0</v>
      </c>
      <c r="C11" s="55">
        <f t="shared" ref="C11:AF11" si="2">SUM(C8:C10)</f>
        <v>-14200</v>
      </c>
      <c r="D11" s="55">
        <f t="shared" si="2"/>
        <v>-14626</v>
      </c>
      <c r="E11" s="55">
        <f t="shared" si="2"/>
        <v>-15064.78</v>
      </c>
      <c r="F11" s="55">
        <f t="shared" si="2"/>
        <v>-15516.7234</v>
      </c>
      <c r="G11" s="55">
        <f t="shared" si="2"/>
        <v>-15982.2251</v>
      </c>
      <c r="H11" s="55">
        <f t="shared" si="2"/>
        <v>0</v>
      </c>
      <c r="I11" s="55">
        <f t="shared" si="2"/>
        <v>0</v>
      </c>
      <c r="J11" s="55">
        <f t="shared" si="2"/>
        <v>0</v>
      </c>
      <c r="K11" s="55">
        <f t="shared" si="2"/>
        <v>0</v>
      </c>
      <c r="L11" s="55">
        <f t="shared" si="2"/>
        <v>0</v>
      </c>
      <c r="M11" s="55">
        <f t="shared" si="2"/>
        <v>0</v>
      </c>
      <c r="N11" s="55">
        <f t="shared" si="2"/>
        <v>0</v>
      </c>
      <c r="O11" s="55">
        <f t="shared" si="2"/>
        <v>0</v>
      </c>
      <c r="P11" s="55">
        <f t="shared" si="2"/>
        <v>0</v>
      </c>
      <c r="Q11" s="55">
        <f t="shared" si="2"/>
        <v>0</v>
      </c>
      <c r="R11" s="55">
        <f t="shared" si="2"/>
        <v>0</v>
      </c>
      <c r="S11" s="55">
        <f t="shared" si="2"/>
        <v>0</v>
      </c>
      <c r="T11" s="55">
        <f t="shared" si="2"/>
        <v>0</v>
      </c>
      <c r="U11" s="55">
        <f t="shared" si="2"/>
        <v>0</v>
      </c>
      <c r="V11" s="55">
        <f t="shared" si="2"/>
        <v>0</v>
      </c>
      <c r="W11" s="55">
        <f t="shared" si="2"/>
        <v>0</v>
      </c>
      <c r="X11" s="55">
        <f t="shared" si="2"/>
        <v>0</v>
      </c>
      <c r="Y11" s="55">
        <f t="shared" si="2"/>
        <v>0</v>
      </c>
      <c r="Z11" s="55">
        <f t="shared" si="2"/>
        <v>0</v>
      </c>
      <c r="AA11" s="55">
        <f t="shared" si="2"/>
        <v>0</v>
      </c>
      <c r="AB11" s="55">
        <f t="shared" si="2"/>
        <v>0</v>
      </c>
      <c r="AC11" s="55">
        <f t="shared" si="2"/>
        <v>0</v>
      </c>
      <c r="AD11" s="55">
        <f t="shared" si="2"/>
        <v>0</v>
      </c>
      <c r="AE11" s="55">
        <f t="shared" si="2"/>
        <v>0</v>
      </c>
      <c r="AF11" s="55">
        <f t="shared" si="2"/>
        <v>0</v>
      </c>
    </row>
    <row r="12">
      <c r="A12" s="56" t="s">
        <v>122</v>
      </c>
      <c r="B12" s="57">
        <v>0.0</v>
      </c>
      <c r="C12" s="58">
        <f t="shared" ref="C12:AF12" si="3">C7+C11</f>
        <v>28550</v>
      </c>
      <c r="D12" s="58">
        <f t="shared" si="3"/>
        <v>29406.5</v>
      </c>
      <c r="E12" s="58">
        <f t="shared" si="3"/>
        <v>30288.695</v>
      </c>
      <c r="F12" s="58">
        <f t="shared" si="3"/>
        <v>31197.35585</v>
      </c>
      <c r="G12" s="58">
        <f t="shared" si="3"/>
        <v>32133.27653</v>
      </c>
      <c r="H12" s="58">
        <f t="shared" si="3"/>
        <v>0</v>
      </c>
      <c r="I12" s="58">
        <f t="shared" si="3"/>
        <v>0</v>
      </c>
      <c r="J12" s="58">
        <f t="shared" si="3"/>
        <v>0</v>
      </c>
      <c r="K12" s="58">
        <f t="shared" si="3"/>
        <v>0</v>
      </c>
      <c r="L12" s="58">
        <f t="shared" si="3"/>
        <v>0</v>
      </c>
      <c r="M12" s="58">
        <f t="shared" si="3"/>
        <v>0</v>
      </c>
      <c r="N12" s="58">
        <f t="shared" si="3"/>
        <v>0</v>
      </c>
      <c r="O12" s="58">
        <f t="shared" si="3"/>
        <v>0</v>
      </c>
      <c r="P12" s="58">
        <f t="shared" si="3"/>
        <v>0</v>
      </c>
      <c r="Q12" s="58">
        <f t="shared" si="3"/>
        <v>0</v>
      </c>
      <c r="R12" s="58">
        <f t="shared" si="3"/>
        <v>0</v>
      </c>
      <c r="S12" s="58">
        <f t="shared" si="3"/>
        <v>0</v>
      </c>
      <c r="T12" s="58">
        <f t="shared" si="3"/>
        <v>0</v>
      </c>
      <c r="U12" s="58">
        <f t="shared" si="3"/>
        <v>0</v>
      </c>
      <c r="V12" s="58">
        <f t="shared" si="3"/>
        <v>0</v>
      </c>
      <c r="W12" s="58">
        <f t="shared" si="3"/>
        <v>0</v>
      </c>
      <c r="X12" s="58">
        <f t="shared" si="3"/>
        <v>0</v>
      </c>
      <c r="Y12" s="58">
        <f t="shared" si="3"/>
        <v>0</v>
      </c>
      <c r="Z12" s="58">
        <f t="shared" si="3"/>
        <v>0</v>
      </c>
      <c r="AA12" s="58">
        <f t="shared" si="3"/>
        <v>0</v>
      </c>
      <c r="AB12" s="58">
        <f t="shared" si="3"/>
        <v>0</v>
      </c>
      <c r="AC12" s="58">
        <f t="shared" si="3"/>
        <v>0</v>
      </c>
      <c r="AD12" s="58">
        <f t="shared" si="3"/>
        <v>0</v>
      </c>
      <c r="AE12" s="58">
        <f t="shared" si="3"/>
        <v>0</v>
      </c>
      <c r="AF12" s="58">
        <f t="shared" si="3"/>
        <v>0</v>
      </c>
    </row>
    <row r="13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>
      <c r="A14" s="23" t="s">
        <v>123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</row>
    <row r="15">
      <c r="A15" s="9" t="s">
        <v>124</v>
      </c>
      <c r="B15" s="27">
        <v>0.0</v>
      </c>
      <c r="C15" s="35">
        <f>IF(C$2&lt;=Assumptions!$B$16, B19, 0)</f>
        <v>360000</v>
      </c>
      <c r="D15" s="35">
        <f>IF(D$2&lt;=Assumptions!$B$16, C19, 0)</f>
        <v>345556.9372</v>
      </c>
      <c r="E15" s="35">
        <f>IF(E$2&lt;=Assumptions!$B$16, D19, 0)</f>
        <v>333955.6135</v>
      </c>
      <c r="F15" s="35">
        <f>IF(F$2&lt;=Assumptions!$B$16, E19, 0)</f>
        <v>325084.7765</v>
      </c>
      <c r="G15" s="35">
        <f>IF(G$2&lt;=Assumptions!$B$16, F19, 0)</f>
        <v>318910.36</v>
      </c>
      <c r="H15" s="35">
        <f>IF(H$2&lt;=Assumptions!$B$16, G19, 0)</f>
        <v>0</v>
      </c>
      <c r="I15" s="35">
        <f>IF(I$2&lt;=Assumptions!$B$16, H19, 0)</f>
        <v>0</v>
      </c>
      <c r="J15" s="35">
        <f>IF(J$2&lt;=Assumptions!$B$16, I19, 0)</f>
        <v>0</v>
      </c>
      <c r="K15" s="35">
        <f>IF(K$2&lt;=Assumptions!$B$16, J19, 0)</f>
        <v>0</v>
      </c>
      <c r="L15" s="35">
        <f>IF(L$2&lt;=Assumptions!$B$16, K19, 0)</f>
        <v>0</v>
      </c>
      <c r="M15" s="35">
        <f>IF(M$2&lt;=Assumptions!$B$16, L19, 0)</f>
        <v>0</v>
      </c>
      <c r="N15" s="35">
        <f>IF(N$2&lt;=Assumptions!$B$16, M19, 0)</f>
        <v>0</v>
      </c>
      <c r="O15" s="35">
        <f>IF(O$2&lt;=Assumptions!$B$16, N19, 0)</f>
        <v>0</v>
      </c>
      <c r="P15" s="35">
        <f>IF(P$2&lt;=Assumptions!$B$16, O19, 0)</f>
        <v>0</v>
      </c>
      <c r="Q15" s="35">
        <f>IF(Q$2&lt;=Assumptions!$B$16, P19, 0)</f>
        <v>0</v>
      </c>
      <c r="R15" s="35">
        <f>IF(R$2&lt;=Assumptions!$B$16, Q19, 0)</f>
        <v>0</v>
      </c>
      <c r="S15" s="35">
        <f>IF(S$2&lt;=Assumptions!$B$16, R19, 0)</f>
        <v>0</v>
      </c>
      <c r="T15" s="35">
        <f>IF(T$2&lt;=Assumptions!$B$16, S19, 0)</f>
        <v>0</v>
      </c>
      <c r="U15" s="35">
        <f>IF(U$2&lt;=Assumptions!$B$16, T19, 0)</f>
        <v>0</v>
      </c>
      <c r="V15" s="35">
        <f>IF(V$2&lt;=Assumptions!$B$16, U19, 0)</f>
        <v>0</v>
      </c>
      <c r="W15" s="35">
        <f>IF(W$2&lt;=Assumptions!$B$16, V19, 0)</f>
        <v>0</v>
      </c>
      <c r="X15" s="35">
        <f>IF(X$2&lt;=Assumptions!$B$16, W19, 0)</f>
        <v>0</v>
      </c>
      <c r="Y15" s="35">
        <f>IF(Y$2&lt;=Assumptions!$B$16, X19, 0)</f>
        <v>0</v>
      </c>
      <c r="Z15" s="35">
        <f>IF(Z$2&lt;=Assumptions!$B$16, Y19, 0)</f>
        <v>0</v>
      </c>
      <c r="AA15" s="35">
        <f>IF(AA$2&lt;=Assumptions!$B$16, Z19, 0)</f>
        <v>0</v>
      </c>
      <c r="AB15" s="35">
        <f>IF(AB$2&lt;=Assumptions!$B$16, AA19, 0)</f>
        <v>0</v>
      </c>
      <c r="AC15" s="35">
        <f>IF(AC$2&lt;=Assumptions!$B$16, AB19, 0)</f>
        <v>0</v>
      </c>
      <c r="AD15" s="35">
        <f>IF(AD$2&lt;=Assumptions!$B$16, AC19, 0)</f>
        <v>0</v>
      </c>
      <c r="AE15" s="35">
        <f>IF(AE$2&lt;=Assumptions!$B$16, AD19, 0)</f>
        <v>0</v>
      </c>
      <c r="AF15" s="35">
        <f>IF(AF$2&lt;=Assumptions!$B$16, AE19, 0)</f>
        <v>0</v>
      </c>
    </row>
    <row r="16">
      <c r="A16" s="9" t="s">
        <v>125</v>
      </c>
      <c r="B16" s="27">
        <v>0.0</v>
      </c>
      <c r="C16" s="35">
        <f>IF(AND(C$2&lt;=Assumptions!$B$16, C15&gt;0), PMT(Assumptions!$B$8, Assumptions!$B$9, Assumptions!$G$4), 0)</f>
        <v>-29743.06284</v>
      </c>
      <c r="D16" s="35">
        <f>IF(AND(D$2&lt;=Assumptions!$B$16, D15&gt;0), PMT(Assumptions!$B$8, Assumptions!$B$9, Assumptions!$G$4), 0)</f>
        <v>-29743.06284</v>
      </c>
      <c r="E16" s="35">
        <f>IF(AND(E$2&lt;=Assumptions!$B$16, E15&gt;0), PMT(Assumptions!$B$8, Assumptions!$B$9, Assumptions!$G$4), 0)</f>
        <v>-29743.06284</v>
      </c>
      <c r="F16" s="35">
        <f>IF(AND(F$2&lt;=Assumptions!$B$16, F15&gt;0), PMT(Assumptions!$B$8, Assumptions!$B$9, Assumptions!$G$4), 0)</f>
        <v>-29743.06284</v>
      </c>
      <c r="G16" s="35">
        <f>IF(AND(G$2&lt;=Assumptions!$B$16, G15&gt;0), PMT(Assumptions!$B$8, Assumptions!$B$9, Assumptions!$G$4), 0)</f>
        <v>-29743.06284</v>
      </c>
      <c r="H16" s="35">
        <f>IF(AND(H$2&lt;=Assumptions!$B$16, H15&gt;0), PMT(Assumptions!$B$8, Assumptions!$B$9, Assumptions!$G$4), 0)</f>
        <v>0</v>
      </c>
      <c r="I16" s="35">
        <f>IF(AND(I$2&lt;=Assumptions!$B$16, I15&gt;0), PMT(Assumptions!$B$8, Assumptions!$B$9, Assumptions!$G$4), 0)</f>
        <v>0</v>
      </c>
      <c r="J16" s="35">
        <f>IF(AND(J$2&lt;=Assumptions!$B$16, J15&gt;0), PMT(Assumptions!$B$8, Assumptions!$B$9, Assumptions!$G$4), 0)</f>
        <v>0</v>
      </c>
      <c r="K16" s="35">
        <f>IF(AND(K$2&lt;=Assumptions!$B$16, K15&gt;0), PMT(Assumptions!$B$8, Assumptions!$B$9, Assumptions!$G$4), 0)</f>
        <v>0</v>
      </c>
      <c r="L16" s="35">
        <f>IF(AND(L$2&lt;=Assumptions!$B$16, L15&gt;0), PMT(Assumptions!$B$8, Assumptions!$B$9, Assumptions!$G$4), 0)</f>
        <v>0</v>
      </c>
      <c r="M16" s="35">
        <f>IF(AND(M$2&lt;=Assumptions!$B$16, M15&gt;0), PMT(Assumptions!$B$8, Assumptions!$B$9, Assumptions!$G$4), 0)</f>
        <v>0</v>
      </c>
      <c r="N16" s="35">
        <f>IF(AND(N$2&lt;=Assumptions!$B$16, N15&gt;0), PMT(Assumptions!$B$8, Assumptions!$B$9, Assumptions!$G$4), 0)</f>
        <v>0</v>
      </c>
      <c r="O16" s="35">
        <f>IF(AND(O$2&lt;=Assumptions!$B$16, O15&gt;0), PMT(Assumptions!$B$8, Assumptions!$B$9, Assumptions!$G$4), 0)</f>
        <v>0</v>
      </c>
      <c r="P16" s="35">
        <f>IF(AND(P$2&lt;=Assumptions!$B$16, P15&gt;0), PMT(Assumptions!$B$8, Assumptions!$B$9, Assumptions!$G$4), 0)</f>
        <v>0</v>
      </c>
      <c r="Q16" s="35">
        <f>IF(AND(Q$2&lt;=Assumptions!$B$16, Q15&gt;0), PMT(Assumptions!$B$8, Assumptions!$B$9, Assumptions!$G$4), 0)</f>
        <v>0</v>
      </c>
      <c r="R16" s="35">
        <f>IF(AND(R$2&lt;=Assumptions!$B$16, R15&gt;0), PMT(Assumptions!$B$8, Assumptions!$B$9, Assumptions!$G$4), 0)</f>
        <v>0</v>
      </c>
      <c r="S16" s="35">
        <f>IF(AND(S$2&lt;=Assumptions!$B$16, S15&gt;0), PMT(Assumptions!$B$8, Assumptions!$B$9, Assumptions!$G$4), 0)</f>
        <v>0</v>
      </c>
      <c r="T16" s="35">
        <f>IF(AND(T$2&lt;=Assumptions!$B$16, T15&gt;0), PMT(Assumptions!$B$8, Assumptions!$B$9, Assumptions!$G$4), 0)</f>
        <v>0</v>
      </c>
      <c r="U16" s="35">
        <f>IF(AND(U$2&lt;=Assumptions!$B$16, U15&gt;0), PMT(Assumptions!$B$8, Assumptions!$B$9, Assumptions!$G$4), 0)</f>
        <v>0</v>
      </c>
      <c r="V16" s="35">
        <f>IF(AND(V$2&lt;=Assumptions!$B$16, V15&gt;0), PMT(Assumptions!$B$8, Assumptions!$B$9, Assumptions!$G$4), 0)</f>
        <v>0</v>
      </c>
      <c r="W16" s="35">
        <f>IF(AND(W$2&lt;=Assumptions!$B$16, W15&gt;0), PMT(Assumptions!$B$8, Assumptions!$B$9, Assumptions!$G$4), 0)</f>
        <v>0</v>
      </c>
      <c r="X16" s="35">
        <f>IF(AND(X$2&lt;=Assumptions!$B$16, X15&gt;0), PMT(Assumptions!$B$8, Assumptions!$B$9, Assumptions!$G$4), 0)</f>
        <v>0</v>
      </c>
      <c r="Y16" s="35">
        <f>IF(AND(Y$2&lt;=Assumptions!$B$16, Y15&gt;0), PMT(Assumptions!$B$8, Assumptions!$B$9, Assumptions!$G$4), 0)</f>
        <v>0</v>
      </c>
      <c r="Z16" s="35">
        <f>IF(AND(Z$2&lt;=Assumptions!$B$16, Z15&gt;0), PMT(Assumptions!$B$8, Assumptions!$B$9, Assumptions!$G$4), 0)</f>
        <v>0</v>
      </c>
      <c r="AA16" s="35">
        <f>IF(AND(AA$2&lt;=Assumptions!$B$16, AA15&gt;0), PMT(Assumptions!$B$8, Assumptions!$B$9, Assumptions!$G$4), 0)</f>
        <v>0</v>
      </c>
      <c r="AB16" s="35">
        <f>IF(AND(AB$2&lt;=Assumptions!$B$16, AB15&gt;0), PMT(Assumptions!$B$8, Assumptions!$B$9, Assumptions!$G$4), 0)</f>
        <v>0</v>
      </c>
      <c r="AC16" s="35">
        <f>IF(AND(AC$2&lt;=Assumptions!$B$16, AC15&gt;0), PMT(Assumptions!$B$8, Assumptions!$B$9, Assumptions!$G$4), 0)</f>
        <v>0</v>
      </c>
      <c r="AD16" s="35">
        <f>IF(AND(AD$2&lt;=Assumptions!$B$16, AD15&gt;0), PMT(Assumptions!$B$8, Assumptions!$B$9, Assumptions!$G$4), 0)</f>
        <v>0</v>
      </c>
      <c r="AE16" s="35">
        <f>IF(AND(AE$2&lt;=Assumptions!$B$16, AE15&gt;0), PMT(Assumptions!$B$8, Assumptions!$B$9, Assumptions!$G$4), 0)</f>
        <v>0</v>
      </c>
      <c r="AF16" s="35">
        <f>IF(AND(AF$2&lt;=Assumptions!$B$16, AF15&gt;0), PMT(Assumptions!$B$8, Assumptions!$B$9, Assumptions!$G$4), 0)</f>
        <v>0</v>
      </c>
    </row>
    <row r="17">
      <c r="A17" s="9" t="s">
        <v>126</v>
      </c>
      <c r="B17" s="27">
        <v>0.0</v>
      </c>
      <c r="C17" s="35">
        <f>IF(C16&lt;0, -C15*(Assumptions!$B$8-IFERROR(VLOOKUP(C$2, Assumptions!$A$24:$B$28, 2, FALSE), 0)), 0)</f>
        <v>-15300</v>
      </c>
      <c r="D17" s="35">
        <f>IF(D16&lt;0, -D15*(Assumptions!$B$8-IFERROR(VLOOKUP(D$2, Assumptions!$A$24:$B$28, 2, FALSE), 0)), 0)</f>
        <v>-18141.7392</v>
      </c>
      <c r="E17" s="35">
        <f>IF(E16&lt;0, -E15*(Assumptions!$B$8-IFERROR(VLOOKUP(E$2, Assumptions!$A$24:$B$28, 2, FALSE), 0)), 0)</f>
        <v>-20872.22584</v>
      </c>
      <c r="F17" s="35">
        <f>IF(F16&lt;0, -F15*(Assumptions!$B$8-IFERROR(VLOOKUP(F$2, Assumptions!$A$24:$B$28, 2, FALSE), 0)), 0)</f>
        <v>-23568.6463</v>
      </c>
      <c r="G17" s="35">
        <f>IF(G16&lt;0, -G15*(Assumptions!$B$8-IFERROR(VLOOKUP(G$2, Assumptions!$A$24:$B$28, 2, FALSE), 0)), 0)</f>
        <v>-23121.0011</v>
      </c>
      <c r="H17" s="35">
        <f>IF(H16&lt;0, -H15*(Assumptions!$B$8-IFERROR(VLOOKUP(H$2, Assumptions!$A$24:$B$28, 2, FALSE), 0)), 0)</f>
        <v>0</v>
      </c>
      <c r="I17" s="35">
        <f>IF(I16&lt;0, -I15*(Assumptions!$B$8-IFERROR(VLOOKUP(I$2, Assumptions!$A$24:$B$28, 2, FALSE), 0)), 0)</f>
        <v>0</v>
      </c>
      <c r="J17" s="35">
        <f>IF(J16&lt;0, -J15*(Assumptions!$B$8-IFERROR(VLOOKUP(J$2, Assumptions!$A$24:$B$28, 2, FALSE), 0)), 0)</f>
        <v>0</v>
      </c>
      <c r="K17" s="35">
        <f>IF(K16&lt;0, -K15*(Assumptions!$B$8-IFERROR(VLOOKUP(K$2, Assumptions!$A$24:$B$28, 2, FALSE), 0)), 0)</f>
        <v>0</v>
      </c>
      <c r="L17" s="35">
        <f>IF(L16&lt;0, -L15*(Assumptions!$B$8-IFERROR(VLOOKUP(L$2, Assumptions!$A$24:$B$28, 2, FALSE), 0)), 0)</f>
        <v>0</v>
      </c>
      <c r="M17" s="35">
        <f>IF(M16&lt;0, -M15*(Assumptions!$B$8-IFERROR(VLOOKUP(M$2, Assumptions!$A$24:$B$28, 2, FALSE), 0)), 0)</f>
        <v>0</v>
      </c>
      <c r="N17" s="35">
        <f>IF(N16&lt;0, -N15*(Assumptions!$B$8-IFERROR(VLOOKUP(N$2, Assumptions!$A$24:$B$28, 2, FALSE), 0)), 0)</f>
        <v>0</v>
      </c>
      <c r="O17" s="35">
        <f>IF(O16&lt;0, -O15*(Assumptions!$B$8-IFERROR(VLOOKUP(O$2, Assumptions!$A$24:$B$28, 2, FALSE), 0)), 0)</f>
        <v>0</v>
      </c>
      <c r="P17" s="35">
        <f>IF(P16&lt;0, -P15*(Assumptions!$B$8-IFERROR(VLOOKUP(P$2, Assumptions!$A$24:$B$28, 2, FALSE), 0)), 0)</f>
        <v>0</v>
      </c>
      <c r="Q17" s="35">
        <f>IF(Q16&lt;0, -Q15*(Assumptions!$B$8-IFERROR(VLOOKUP(Q$2, Assumptions!$A$24:$B$28, 2, FALSE), 0)), 0)</f>
        <v>0</v>
      </c>
      <c r="R17" s="35">
        <f>IF(R16&lt;0, -R15*(Assumptions!$B$8-IFERROR(VLOOKUP(R$2, Assumptions!$A$24:$B$28, 2, FALSE), 0)), 0)</f>
        <v>0</v>
      </c>
      <c r="S17" s="35">
        <f>IF(S16&lt;0, -S15*(Assumptions!$B$8-IFERROR(VLOOKUP(S$2, Assumptions!$A$24:$B$28, 2, FALSE), 0)), 0)</f>
        <v>0</v>
      </c>
      <c r="T17" s="35">
        <f>IF(T16&lt;0, -T15*(Assumptions!$B$8-IFERROR(VLOOKUP(T$2, Assumptions!$A$24:$B$28, 2, FALSE), 0)), 0)</f>
        <v>0</v>
      </c>
      <c r="U17" s="35">
        <f>IF(U16&lt;0, -U15*(Assumptions!$B$8-IFERROR(VLOOKUP(U$2, Assumptions!$A$24:$B$28, 2, FALSE), 0)), 0)</f>
        <v>0</v>
      </c>
      <c r="V17" s="35">
        <f>IF(V16&lt;0, -V15*(Assumptions!$B$8-IFERROR(VLOOKUP(V$2, Assumptions!$A$24:$B$28, 2, FALSE), 0)), 0)</f>
        <v>0</v>
      </c>
      <c r="W17" s="35">
        <f>IF(W16&lt;0, -W15*(Assumptions!$B$8-IFERROR(VLOOKUP(W$2, Assumptions!$A$24:$B$28, 2, FALSE), 0)), 0)</f>
        <v>0</v>
      </c>
      <c r="X17" s="35">
        <f>IF(X16&lt;0, -X15*(Assumptions!$B$8-IFERROR(VLOOKUP(X$2, Assumptions!$A$24:$B$28, 2, FALSE), 0)), 0)</f>
        <v>0</v>
      </c>
      <c r="Y17" s="35">
        <f>IF(Y16&lt;0, -Y15*(Assumptions!$B$8-IFERROR(VLOOKUP(Y$2, Assumptions!$A$24:$B$28, 2, FALSE), 0)), 0)</f>
        <v>0</v>
      </c>
      <c r="Z17" s="35">
        <f>IF(Z16&lt;0, -Z15*(Assumptions!$B$8-IFERROR(VLOOKUP(Z$2, Assumptions!$A$24:$B$28, 2, FALSE), 0)), 0)</f>
        <v>0</v>
      </c>
      <c r="AA17" s="35">
        <f>IF(AA16&lt;0, -AA15*(Assumptions!$B$8-IFERROR(VLOOKUP(AA$2, Assumptions!$A$24:$B$28, 2, FALSE), 0)), 0)</f>
        <v>0</v>
      </c>
      <c r="AB17" s="35">
        <f>IF(AB16&lt;0, -AB15*(Assumptions!$B$8-IFERROR(VLOOKUP(AB$2, Assumptions!$A$24:$B$28, 2, FALSE), 0)), 0)</f>
        <v>0</v>
      </c>
      <c r="AC17" s="35">
        <f>IF(AC16&lt;0, -AC15*(Assumptions!$B$8-IFERROR(VLOOKUP(AC$2, Assumptions!$A$24:$B$28, 2, FALSE), 0)), 0)</f>
        <v>0</v>
      </c>
      <c r="AD17" s="35">
        <f>IF(AD16&lt;0, -AD15*(Assumptions!$B$8-IFERROR(VLOOKUP(AD$2, Assumptions!$A$24:$B$28, 2, FALSE), 0)), 0)</f>
        <v>0</v>
      </c>
      <c r="AE17" s="35">
        <f>IF(AE16&lt;0, -AE15*(Assumptions!$B$8-IFERROR(VLOOKUP(AE$2, Assumptions!$A$24:$B$28, 2, FALSE), 0)), 0)</f>
        <v>0</v>
      </c>
      <c r="AF17" s="35">
        <f>IF(AF16&lt;0, -AF15*(Assumptions!$B$8-IFERROR(VLOOKUP(AF$2, Assumptions!$A$24:$B$28, 2, FALSE), 0)), 0)</f>
        <v>0</v>
      </c>
    </row>
    <row r="18">
      <c r="A18" s="9" t="s">
        <v>127</v>
      </c>
      <c r="B18" s="27">
        <v>0.0</v>
      </c>
      <c r="C18" s="35">
        <f t="shared" ref="C18:AF18" si="4">IF(C16&lt;0, C16-C17, 0)</f>
        <v>-14443.06284</v>
      </c>
      <c r="D18" s="35">
        <f t="shared" si="4"/>
        <v>-11601.32364</v>
      </c>
      <c r="E18" s="35">
        <f t="shared" si="4"/>
        <v>-8870.836999</v>
      </c>
      <c r="F18" s="35">
        <f t="shared" si="4"/>
        <v>-6174.416547</v>
      </c>
      <c r="G18" s="35">
        <f t="shared" si="4"/>
        <v>-6622.061746</v>
      </c>
      <c r="H18" s="35">
        <f t="shared" si="4"/>
        <v>0</v>
      </c>
      <c r="I18" s="35">
        <f t="shared" si="4"/>
        <v>0</v>
      </c>
      <c r="J18" s="35">
        <f t="shared" si="4"/>
        <v>0</v>
      </c>
      <c r="K18" s="35">
        <f t="shared" si="4"/>
        <v>0</v>
      </c>
      <c r="L18" s="35">
        <f t="shared" si="4"/>
        <v>0</v>
      </c>
      <c r="M18" s="35">
        <f t="shared" si="4"/>
        <v>0</v>
      </c>
      <c r="N18" s="35">
        <f t="shared" si="4"/>
        <v>0</v>
      </c>
      <c r="O18" s="35">
        <f t="shared" si="4"/>
        <v>0</v>
      </c>
      <c r="P18" s="35">
        <f t="shared" si="4"/>
        <v>0</v>
      </c>
      <c r="Q18" s="35">
        <f t="shared" si="4"/>
        <v>0</v>
      </c>
      <c r="R18" s="35">
        <f t="shared" si="4"/>
        <v>0</v>
      </c>
      <c r="S18" s="35">
        <f t="shared" si="4"/>
        <v>0</v>
      </c>
      <c r="T18" s="35">
        <f t="shared" si="4"/>
        <v>0</v>
      </c>
      <c r="U18" s="35">
        <f t="shared" si="4"/>
        <v>0</v>
      </c>
      <c r="V18" s="35">
        <f t="shared" si="4"/>
        <v>0</v>
      </c>
      <c r="W18" s="35">
        <f t="shared" si="4"/>
        <v>0</v>
      </c>
      <c r="X18" s="35">
        <f t="shared" si="4"/>
        <v>0</v>
      </c>
      <c r="Y18" s="35">
        <f t="shared" si="4"/>
        <v>0</v>
      </c>
      <c r="Z18" s="35">
        <f t="shared" si="4"/>
        <v>0</v>
      </c>
      <c r="AA18" s="35">
        <f t="shared" si="4"/>
        <v>0</v>
      </c>
      <c r="AB18" s="35">
        <f t="shared" si="4"/>
        <v>0</v>
      </c>
      <c r="AC18" s="35">
        <f t="shared" si="4"/>
        <v>0</v>
      </c>
      <c r="AD18" s="35">
        <f t="shared" si="4"/>
        <v>0</v>
      </c>
      <c r="AE18" s="35">
        <f t="shared" si="4"/>
        <v>0</v>
      </c>
      <c r="AF18" s="35">
        <f t="shared" si="4"/>
        <v>0</v>
      </c>
    </row>
    <row r="19">
      <c r="A19" s="60" t="s">
        <v>128</v>
      </c>
      <c r="B19" s="61">
        <f>Assumptions!$G$4</f>
        <v>360000</v>
      </c>
      <c r="C19" s="61">
        <f>IF(C$2&lt;=Assumptions!$B$16, MAX(0, C15+C18), 0)</f>
        <v>345556.9372</v>
      </c>
      <c r="D19" s="61">
        <f>IF(D$2&lt;=Assumptions!$B$16, MAX(0, D15+D18), 0)</f>
        <v>333955.6135</v>
      </c>
      <c r="E19" s="61">
        <f>IF(E$2&lt;=Assumptions!$B$16, MAX(0, E15+E18), 0)</f>
        <v>325084.7765</v>
      </c>
      <c r="F19" s="61">
        <f>IF(F$2&lt;=Assumptions!$B$16, MAX(0, F15+F18), 0)</f>
        <v>318910.36</v>
      </c>
      <c r="G19" s="61">
        <f>IF(G$2&lt;=Assumptions!$B$16, MAX(0, G15+G18), 0)</f>
        <v>312288.2982</v>
      </c>
      <c r="H19" s="61">
        <f>IF(H$2&lt;=Assumptions!$B$16, MAX(0, H15+H18), 0)</f>
        <v>0</v>
      </c>
      <c r="I19" s="61">
        <f>IF(I$2&lt;=Assumptions!$B$16, MAX(0, I15+I18), 0)</f>
        <v>0</v>
      </c>
      <c r="J19" s="61">
        <f>IF(J$2&lt;=Assumptions!$B$16, MAX(0, J15+J18), 0)</f>
        <v>0</v>
      </c>
      <c r="K19" s="61">
        <f>IF(K$2&lt;=Assumptions!$B$16, MAX(0, K15+K18), 0)</f>
        <v>0</v>
      </c>
      <c r="L19" s="61">
        <f>IF(L$2&lt;=Assumptions!$B$16, MAX(0, L15+L18), 0)</f>
        <v>0</v>
      </c>
      <c r="M19" s="61">
        <f>IF(M$2&lt;=Assumptions!$B$16, MAX(0, M15+M18), 0)</f>
        <v>0</v>
      </c>
      <c r="N19" s="61">
        <f>IF(N$2&lt;=Assumptions!$B$16, MAX(0, N15+N18), 0)</f>
        <v>0</v>
      </c>
      <c r="O19" s="61">
        <f>IF(O$2&lt;=Assumptions!$B$16, MAX(0, O15+O18), 0)</f>
        <v>0</v>
      </c>
      <c r="P19" s="61">
        <f>IF(P$2&lt;=Assumptions!$B$16, MAX(0, P15+P18), 0)</f>
        <v>0</v>
      </c>
      <c r="Q19" s="61">
        <f>IF(Q$2&lt;=Assumptions!$B$16, MAX(0, Q15+Q18), 0)</f>
        <v>0</v>
      </c>
      <c r="R19" s="61">
        <f>IF(R$2&lt;=Assumptions!$B$16, MAX(0, R15+R18), 0)</f>
        <v>0</v>
      </c>
      <c r="S19" s="61">
        <f>IF(S$2&lt;=Assumptions!$B$16, MAX(0, S15+S18), 0)</f>
        <v>0</v>
      </c>
      <c r="T19" s="61">
        <f>IF(T$2&lt;=Assumptions!$B$16, MAX(0, T15+T18), 0)</f>
        <v>0</v>
      </c>
      <c r="U19" s="61">
        <f>IF(U$2&lt;=Assumptions!$B$16, MAX(0, U15+U18), 0)</f>
        <v>0</v>
      </c>
      <c r="V19" s="61">
        <f>IF(V$2&lt;=Assumptions!$B$16, MAX(0, V15+V18), 0)</f>
        <v>0</v>
      </c>
      <c r="W19" s="61">
        <f>IF(W$2&lt;=Assumptions!$B$16, MAX(0, W15+W18), 0)</f>
        <v>0</v>
      </c>
      <c r="X19" s="61">
        <f>IF(X$2&lt;=Assumptions!$B$16, MAX(0, X15+X18), 0)</f>
        <v>0</v>
      </c>
      <c r="Y19" s="61">
        <f>IF(Y$2&lt;=Assumptions!$B$16, MAX(0, Y15+Y18), 0)</f>
        <v>0</v>
      </c>
      <c r="Z19" s="61">
        <f>IF(Z$2&lt;=Assumptions!$B$16, MAX(0, Z15+Z18), 0)</f>
        <v>0</v>
      </c>
      <c r="AA19" s="61">
        <f>IF(AA$2&lt;=Assumptions!$B$16, MAX(0, AA15+AA18), 0)</f>
        <v>0</v>
      </c>
      <c r="AB19" s="61">
        <f>IF(AB$2&lt;=Assumptions!$B$16, MAX(0, AB15+AB18), 0)</f>
        <v>0</v>
      </c>
      <c r="AC19" s="61">
        <f>IF(AC$2&lt;=Assumptions!$B$16, MAX(0, AC15+AC18), 0)</f>
        <v>0</v>
      </c>
      <c r="AD19" s="61">
        <f>IF(AD$2&lt;=Assumptions!$B$16, MAX(0, AD15+AD18), 0)</f>
        <v>0</v>
      </c>
      <c r="AE19" s="61">
        <f>IF(AE$2&lt;=Assumptions!$B$16, MAX(0, AE15+AE18), 0)</f>
        <v>0</v>
      </c>
      <c r="AF19" s="61">
        <f>IF(AF$2&lt;=Assumptions!$B$16, MAX(0, AF15+AF18), 0)</f>
        <v>0</v>
      </c>
    </row>
    <row r="20">
      <c r="A20" s="23" t="s">
        <v>129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</row>
    <row r="21">
      <c r="A21" s="9" t="s">
        <v>130</v>
      </c>
      <c r="B21" s="27">
        <v>0.0</v>
      </c>
      <c r="C21" s="35">
        <f>IF(C$2=Assumptions!$B$16, Assumptions!$B$17, 0)</f>
        <v>0</v>
      </c>
      <c r="D21" s="35">
        <f>IF(D$2=Assumptions!$B$16, Assumptions!$B$17, 0)</f>
        <v>0</v>
      </c>
      <c r="E21" s="35">
        <f>IF(E$2=Assumptions!$B$16, Assumptions!$B$17, 0)</f>
        <v>0</v>
      </c>
      <c r="F21" s="35">
        <f>IF(F$2=Assumptions!$B$16, Assumptions!$B$17, 0)</f>
        <v>0</v>
      </c>
      <c r="G21" s="35">
        <f>IF(G$2=Assumptions!$B$16, Assumptions!$B$17, 0)</f>
        <v>560000</v>
      </c>
      <c r="H21" s="35">
        <f>IF(H$2=Assumptions!$B$16, Assumptions!$B$17, 0)</f>
        <v>0</v>
      </c>
      <c r="I21" s="35">
        <f>IF(I$2=Assumptions!$B$16, Assumptions!$B$17, 0)</f>
        <v>0</v>
      </c>
      <c r="J21" s="35">
        <f>IF(J$2=Assumptions!$B$16, Assumptions!$B$17, 0)</f>
        <v>0</v>
      </c>
      <c r="K21" s="35">
        <f>IF(K$2=Assumptions!$B$16, Assumptions!$B$17, 0)</f>
        <v>0</v>
      </c>
      <c r="L21" s="35">
        <f>IF(L$2=Assumptions!$B$16, Assumptions!$B$17, 0)</f>
        <v>0</v>
      </c>
      <c r="M21" s="35">
        <f>IF(M$2=Assumptions!$B$16, Assumptions!$B$17, 0)</f>
        <v>0</v>
      </c>
      <c r="N21" s="35">
        <f>IF(N$2=Assumptions!$B$16, Assumptions!$B$17, 0)</f>
        <v>0</v>
      </c>
      <c r="O21" s="35">
        <f>IF(O$2=Assumptions!$B$16, Assumptions!$B$17, 0)</f>
        <v>0</v>
      </c>
      <c r="P21" s="35">
        <f>IF(P$2=Assumptions!$B$16, Assumptions!$B$17, 0)</f>
        <v>0</v>
      </c>
      <c r="Q21" s="35">
        <f>IF(Q$2=Assumptions!$B$16, Assumptions!$B$17, 0)</f>
        <v>0</v>
      </c>
      <c r="R21" s="35">
        <f>IF(R$2=Assumptions!$B$16, Assumptions!$B$17, 0)</f>
        <v>0</v>
      </c>
      <c r="S21" s="35">
        <f>IF(S$2=Assumptions!$B$16, Assumptions!$B$17, 0)</f>
        <v>0</v>
      </c>
      <c r="T21" s="35">
        <f>IF(T$2=Assumptions!$B$16, Assumptions!$B$17, 0)</f>
        <v>0</v>
      </c>
      <c r="U21" s="35">
        <f>IF(U$2=Assumptions!$B$16, Assumptions!$B$17, 0)</f>
        <v>0</v>
      </c>
      <c r="V21" s="35">
        <f>IF(V$2=Assumptions!$B$16, Assumptions!$B$17, 0)</f>
        <v>0</v>
      </c>
      <c r="W21" s="35">
        <f>IF(W$2=Assumptions!$B$16, Assumptions!$B$17, 0)</f>
        <v>0</v>
      </c>
      <c r="X21" s="35">
        <f>IF(X$2=Assumptions!$B$16, Assumptions!$B$17, 0)</f>
        <v>0</v>
      </c>
      <c r="Y21" s="35">
        <f>IF(Y$2=Assumptions!$B$16, Assumptions!$B$17, 0)</f>
        <v>0</v>
      </c>
      <c r="Z21" s="35">
        <f>IF(Z$2=Assumptions!$B$16, Assumptions!$B$17, 0)</f>
        <v>0</v>
      </c>
      <c r="AA21" s="35">
        <f>IF(AA$2=Assumptions!$B$16, Assumptions!$B$17, 0)</f>
        <v>0</v>
      </c>
      <c r="AB21" s="35">
        <f>IF(AB$2=Assumptions!$B$16, Assumptions!$B$17, 0)</f>
        <v>0</v>
      </c>
      <c r="AC21" s="35">
        <f>IF(AC$2=Assumptions!$B$16, Assumptions!$B$17, 0)</f>
        <v>0</v>
      </c>
      <c r="AD21" s="35">
        <f>IF(AD$2=Assumptions!$B$16, Assumptions!$B$17, 0)</f>
        <v>0</v>
      </c>
      <c r="AE21" s="35">
        <f>IF(AE$2=Assumptions!$B$16, Assumptions!$B$17, 0)</f>
        <v>0</v>
      </c>
      <c r="AF21" s="35">
        <f>IF(AF$2=Assumptions!$B$16, Assumptions!$B$17, 0)</f>
        <v>0</v>
      </c>
    </row>
    <row r="22">
      <c r="A22" s="9" t="s">
        <v>131</v>
      </c>
      <c r="B22" s="27">
        <v>0.0</v>
      </c>
      <c r="C22" s="35">
        <f>IF(C21&gt;0, -C21*Assumptions!$B$18, 0)</f>
        <v>0</v>
      </c>
      <c r="D22" s="35">
        <f>IF(D21&gt;0, -D21*Assumptions!$B$18, 0)</f>
        <v>0</v>
      </c>
      <c r="E22" s="35">
        <f>IF(E21&gt;0, -E21*Assumptions!$B$18, 0)</f>
        <v>0</v>
      </c>
      <c r="F22" s="35">
        <f>IF(F21&gt;0, -F21*Assumptions!$B$18, 0)</f>
        <v>0</v>
      </c>
      <c r="G22" s="35">
        <f>IF(G21&gt;0, -G21*Assumptions!$B$18, 0)</f>
        <v>-16800</v>
      </c>
      <c r="H22" s="35">
        <f>IF(H21&gt;0, -H21*Assumptions!$B$18, 0)</f>
        <v>0</v>
      </c>
      <c r="I22" s="35">
        <f>IF(I21&gt;0, -I21*Assumptions!$B$18, 0)</f>
        <v>0</v>
      </c>
      <c r="J22" s="35">
        <f>IF(J21&gt;0, -J21*Assumptions!$B$18, 0)</f>
        <v>0</v>
      </c>
      <c r="K22" s="35">
        <f>IF(K21&gt;0, -K21*Assumptions!$B$18, 0)</f>
        <v>0</v>
      </c>
      <c r="L22" s="35">
        <f>IF(L21&gt;0, -L21*Assumptions!$B$18, 0)</f>
        <v>0</v>
      </c>
      <c r="M22" s="35">
        <f>IF(M21&gt;0, -M21*Assumptions!$B$18, 0)</f>
        <v>0</v>
      </c>
      <c r="N22" s="35">
        <f>IF(N21&gt;0, -N21*Assumptions!$B$18, 0)</f>
        <v>0</v>
      </c>
      <c r="O22" s="35">
        <f>IF(O21&gt;0, -O21*Assumptions!$B$18, 0)</f>
        <v>0</v>
      </c>
      <c r="P22" s="35">
        <f>IF(P21&gt;0, -P21*Assumptions!$B$18, 0)</f>
        <v>0</v>
      </c>
      <c r="Q22" s="35">
        <f>IF(Q21&gt;0, -Q21*Assumptions!$B$18, 0)</f>
        <v>0</v>
      </c>
      <c r="R22" s="35">
        <f>IF(R21&gt;0, -R21*Assumptions!$B$18, 0)</f>
        <v>0</v>
      </c>
      <c r="S22" s="35">
        <f>IF(S21&gt;0, -S21*Assumptions!$B$18, 0)</f>
        <v>0</v>
      </c>
      <c r="T22" s="35">
        <f>IF(T21&gt;0, -T21*Assumptions!$B$18, 0)</f>
        <v>0</v>
      </c>
      <c r="U22" s="35">
        <f>IF(U21&gt;0, -U21*Assumptions!$B$18, 0)</f>
        <v>0</v>
      </c>
      <c r="V22" s="35">
        <f>IF(V21&gt;0, -V21*Assumptions!$B$18, 0)</f>
        <v>0</v>
      </c>
      <c r="W22" s="35">
        <f>IF(W21&gt;0, -W21*Assumptions!$B$18, 0)</f>
        <v>0</v>
      </c>
      <c r="X22" s="35">
        <f>IF(X21&gt;0, -X21*Assumptions!$B$18, 0)</f>
        <v>0</v>
      </c>
      <c r="Y22" s="35">
        <f>IF(Y21&gt;0, -Y21*Assumptions!$B$18, 0)</f>
        <v>0</v>
      </c>
      <c r="Z22" s="35">
        <f>IF(Z21&gt;0, -Z21*Assumptions!$B$18, 0)</f>
        <v>0</v>
      </c>
      <c r="AA22" s="35">
        <f>IF(AA21&gt;0, -AA21*Assumptions!$B$18, 0)</f>
        <v>0</v>
      </c>
      <c r="AB22" s="35">
        <f>IF(AB21&gt;0, -AB21*Assumptions!$B$18, 0)</f>
        <v>0</v>
      </c>
      <c r="AC22" s="35">
        <f>IF(AC21&gt;0, -AC21*Assumptions!$B$18, 0)</f>
        <v>0</v>
      </c>
      <c r="AD22" s="35">
        <f>IF(AD21&gt;0, -AD21*Assumptions!$B$18, 0)</f>
        <v>0</v>
      </c>
      <c r="AE22" s="35">
        <f>IF(AE21&gt;0, -AE21*Assumptions!$B$18, 0)</f>
        <v>0</v>
      </c>
      <c r="AF22" s="35">
        <f>IF(AF21&gt;0, -AF21*Assumptions!$B$18, 0)</f>
        <v>0</v>
      </c>
    </row>
    <row r="23">
      <c r="A23" s="41" t="s">
        <v>132</v>
      </c>
      <c r="B23" s="51">
        <v>0.0</v>
      </c>
      <c r="C23" s="52">
        <f t="shared" ref="C23:AF23" si="5">C21+C22</f>
        <v>0</v>
      </c>
      <c r="D23" s="52">
        <f t="shared" si="5"/>
        <v>0</v>
      </c>
      <c r="E23" s="52">
        <f t="shared" si="5"/>
        <v>0</v>
      </c>
      <c r="F23" s="52">
        <f t="shared" si="5"/>
        <v>0</v>
      </c>
      <c r="G23" s="52">
        <f t="shared" si="5"/>
        <v>543200</v>
      </c>
      <c r="H23" s="52">
        <f t="shared" si="5"/>
        <v>0</v>
      </c>
      <c r="I23" s="52">
        <f t="shared" si="5"/>
        <v>0</v>
      </c>
      <c r="J23" s="52">
        <f t="shared" si="5"/>
        <v>0</v>
      </c>
      <c r="K23" s="52">
        <f t="shared" si="5"/>
        <v>0</v>
      </c>
      <c r="L23" s="52">
        <f t="shared" si="5"/>
        <v>0</v>
      </c>
      <c r="M23" s="52">
        <f t="shared" si="5"/>
        <v>0</v>
      </c>
      <c r="N23" s="52">
        <f t="shared" si="5"/>
        <v>0</v>
      </c>
      <c r="O23" s="52">
        <f t="shared" si="5"/>
        <v>0</v>
      </c>
      <c r="P23" s="52">
        <f t="shared" si="5"/>
        <v>0</v>
      </c>
      <c r="Q23" s="52">
        <f t="shared" si="5"/>
        <v>0</v>
      </c>
      <c r="R23" s="52">
        <f t="shared" si="5"/>
        <v>0</v>
      </c>
      <c r="S23" s="52">
        <f t="shared" si="5"/>
        <v>0</v>
      </c>
      <c r="T23" s="52">
        <f t="shared" si="5"/>
        <v>0</v>
      </c>
      <c r="U23" s="52">
        <f t="shared" si="5"/>
        <v>0</v>
      </c>
      <c r="V23" s="52">
        <f t="shared" si="5"/>
        <v>0</v>
      </c>
      <c r="W23" s="52">
        <f t="shared" si="5"/>
        <v>0</v>
      </c>
      <c r="X23" s="52">
        <f t="shared" si="5"/>
        <v>0</v>
      </c>
      <c r="Y23" s="52">
        <f t="shared" si="5"/>
        <v>0</v>
      </c>
      <c r="Z23" s="52">
        <f t="shared" si="5"/>
        <v>0</v>
      </c>
      <c r="AA23" s="52">
        <f t="shared" si="5"/>
        <v>0</v>
      </c>
      <c r="AB23" s="52">
        <f t="shared" si="5"/>
        <v>0</v>
      </c>
      <c r="AC23" s="52">
        <f t="shared" si="5"/>
        <v>0</v>
      </c>
      <c r="AD23" s="52">
        <f t="shared" si="5"/>
        <v>0</v>
      </c>
      <c r="AE23" s="52">
        <f t="shared" si="5"/>
        <v>0</v>
      </c>
      <c r="AF23" s="52">
        <f t="shared" si="5"/>
        <v>0</v>
      </c>
    </row>
    <row r="24">
      <c r="A24" s="9" t="s">
        <v>133</v>
      </c>
      <c r="B24" s="27">
        <v>0.0</v>
      </c>
      <c r="C24" s="35">
        <f>IF(C$2=Assumptions!$B$16, -C19, 0)</f>
        <v>0</v>
      </c>
      <c r="D24" s="35">
        <f>IF(D$2=Assumptions!$B$16, -D19, 0)</f>
        <v>0</v>
      </c>
      <c r="E24" s="35">
        <f>IF(E$2=Assumptions!$B$16, -E19, 0)</f>
        <v>0</v>
      </c>
      <c r="F24" s="35">
        <f>IF(F$2=Assumptions!$B$16, -F19, 0)</f>
        <v>0</v>
      </c>
      <c r="G24" s="35">
        <f>IF(G$2=Assumptions!$B$16, -G19, 0)</f>
        <v>-312288.2982</v>
      </c>
      <c r="H24" s="35">
        <f>IF(H$2=Assumptions!$B$16, -H19, 0)</f>
        <v>0</v>
      </c>
      <c r="I24" s="35">
        <f>IF(I$2=Assumptions!$B$16, -I19, 0)</f>
        <v>0</v>
      </c>
      <c r="J24" s="35">
        <f>IF(J$2=Assumptions!$B$16, -J19, 0)</f>
        <v>0</v>
      </c>
      <c r="K24" s="35">
        <f>IF(K$2=Assumptions!$B$16, -K19, 0)</f>
        <v>0</v>
      </c>
      <c r="L24" s="35">
        <f>IF(L$2=Assumptions!$B$16, -L19, 0)</f>
        <v>0</v>
      </c>
      <c r="M24" s="35">
        <f>IF(M$2=Assumptions!$B$16, -M19, 0)</f>
        <v>0</v>
      </c>
      <c r="N24" s="35">
        <f>IF(N$2=Assumptions!$B$16, -N19, 0)</f>
        <v>0</v>
      </c>
      <c r="O24" s="35">
        <f>IF(O$2=Assumptions!$B$16, -O19, 0)</f>
        <v>0</v>
      </c>
      <c r="P24" s="35">
        <f>IF(P$2=Assumptions!$B$16, -P19, 0)</f>
        <v>0</v>
      </c>
      <c r="Q24" s="35">
        <f>IF(Q$2=Assumptions!$B$16, -Q19, 0)</f>
        <v>0</v>
      </c>
      <c r="R24" s="35">
        <f>IF(R$2=Assumptions!$B$16, -R19, 0)</f>
        <v>0</v>
      </c>
      <c r="S24" s="35">
        <f>IF(S$2=Assumptions!$B$16, -S19, 0)</f>
        <v>0</v>
      </c>
      <c r="T24" s="35">
        <f>IF(T$2=Assumptions!$B$16, -T19, 0)</f>
        <v>0</v>
      </c>
      <c r="U24" s="35">
        <f>IF(U$2=Assumptions!$B$16, -U19, 0)</f>
        <v>0</v>
      </c>
      <c r="V24" s="35">
        <f>IF(V$2=Assumptions!$B$16, -V19, 0)</f>
        <v>0</v>
      </c>
      <c r="W24" s="35">
        <f>IF(W$2=Assumptions!$B$16, -W19, 0)</f>
        <v>0</v>
      </c>
      <c r="X24" s="35">
        <f>IF(X$2=Assumptions!$B$16, -X19, 0)</f>
        <v>0</v>
      </c>
      <c r="Y24" s="35">
        <f>IF(Y$2=Assumptions!$B$16, -Y19, 0)</f>
        <v>0</v>
      </c>
      <c r="Z24" s="35">
        <f>IF(Z$2=Assumptions!$B$16, -Z19, 0)</f>
        <v>0</v>
      </c>
      <c r="AA24" s="35">
        <f>IF(AA$2=Assumptions!$B$16, -AA19, 0)</f>
        <v>0</v>
      </c>
      <c r="AB24" s="35">
        <f>IF(AB$2=Assumptions!$B$16, -AB19, 0)</f>
        <v>0</v>
      </c>
      <c r="AC24" s="35">
        <f>IF(AC$2=Assumptions!$B$16, -AC19, 0)</f>
        <v>0</v>
      </c>
      <c r="AD24" s="35">
        <f>IF(AD$2=Assumptions!$B$16, -AD19, 0)</f>
        <v>0</v>
      </c>
      <c r="AE24" s="35">
        <f>IF(AE$2=Assumptions!$B$16, -AE19, 0)</f>
        <v>0</v>
      </c>
      <c r="AF24" s="35">
        <f>IF(AF$2=Assumptions!$B$16, -AF19, 0)</f>
        <v>0</v>
      </c>
    </row>
    <row r="25">
      <c r="A25" s="60" t="s">
        <v>134</v>
      </c>
      <c r="B25" s="62">
        <v>0.0</v>
      </c>
      <c r="C25" s="61">
        <f t="shared" ref="C25:AF25" si="6">C23+C24</f>
        <v>0</v>
      </c>
      <c r="D25" s="61">
        <f t="shared" si="6"/>
        <v>0</v>
      </c>
      <c r="E25" s="61">
        <f t="shared" si="6"/>
        <v>0</v>
      </c>
      <c r="F25" s="61">
        <f t="shared" si="6"/>
        <v>0</v>
      </c>
      <c r="G25" s="61">
        <f t="shared" si="6"/>
        <v>230911.7018</v>
      </c>
      <c r="H25" s="61">
        <f t="shared" si="6"/>
        <v>0</v>
      </c>
      <c r="I25" s="61">
        <f t="shared" si="6"/>
        <v>0</v>
      </c>
      <c r="J25" s="61">
        <f t="shared" si="6"/>
        <v>0</v>
      </c>
      <c r="K25" s="61">
        <f t="shared" si="6"/>
        <v>0</v>
      </c>
      <c r="L25" s="61">
        <f t="shared" si="6"/>
        <v>0</v>
      </c>
      <c r="M25" s="61">
        <f t="shared" si="6"/>
        <v>0</v>
      </c>
      <c r="N25" s="61">
        <f t="shared" si="6"/>
        <v>0</v>
      </c>
      <c r="O25" s="61">
        <f t="shared" si="6"/>
        <v>0</v>
      </c>
      <c r="P25" s="61">
        <f t="shared" si="6"/>
        <v>0</v>
      </c>
      <c r="Q25" s="61">
        <f t="shared" si="6"/>
        <v>0</v>
      </c>
      <c r="R25" s="61">
        <f t="shared" si="6"/>
        <v>0</v>
      </c>
      <c r="S25" s="61">
        <f t="shared" si="6"/>
        <v>0</v>
      </c>
      <c r="T25" s="61">
        <f t="shared" si="6"/>
        <v>0</v>
      </c>
      <c r="U25" s="61">
        <f t="shared" si="6"/>
        <v>0</v>
      </c>
      <c r="V25" s="61">
        <f t="shared" si="6"/>
        <v>0</v>
      </c>
      <c r="W25" s="61">
        <f t="shared" si="6"/>
        <v>0</v>
      </c>
      <c r="X25" s="61">
        <f t="shared" si="6"/>
        <v>0</v>
      </c>
      <c r="Y25" s="61">
        <f t="shared" si="6"/>
        <v>0</v>
      </c>
      <c r="Z25" s="61">
        <f t="shared" si="6"/>
        <v>0</v>
      </c>
      <c r="AA25" s="61">
        <f t="shared" si="6"/>
        <v>0</v>
      </c>
      <c r="AB25" s="61">
        <f t="shared" si="6"/>
        <v>0</v>
      </c>
      <c r="AC25" s="61">
        <f t="shared" si="6"/>
        <v>0</v>
      </c>
      <c r="AD25" s="61">
        <f t="shared" si="6"/>
        <v>0</v>
      </c>
      <c r="AE25" s="61">
        <f t="shared" si="6"/>
        <v>0</v>
      </c>
      <c r="AF25" s="61">
        <f t="shared" si="6"/>
        <v>0</v>
      </c>
    </row>
    <row r="26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>
      <c r="A27" s="63" t="s">
        <v>135</v>
      </c>
      <c r="B27" s="64">
        <f>-Assumptions!$G$6</f>
        <v>-143529.6257</v>
      </c>
      <c r="C27" s="65">
        <f>IF(C$2&lt;=Assumptions!$B$16, C12+C16+C25, 0)</f>
        <v>-1193.062844</v>
      </c>
      <c r="D27" s="65">
        <f>IF(D$2&lt;=Assumptions!$B$16, D12+D16+D25, 0)</f>
        <v>-336.562844</v>
      </c>
      <c r="E27" s="65">
        <f>IF(E$2&lt;=Assumptions!$B$16, E12+E16+E25, 0)</f>
        <v>545.632156</v>
      </c>
      <c r="F27" s="65">
        <f>IF(F$2&lt;=Assumptions!$B$16, F12+F16+F25, 0)</f>
        <v>1454.293006</v>
      </c>
      <c r="G27" s="65">
        <f>IF(G$2&lt;=Assumptions!$B$16, G12+G16+G25, 0)</f>
        <v>233301.9155</v>
      </c>
      <c r="H27" s="65">
        <f>IF(H$2&lt;=Assumptions!$B$16, H12+H16+H25, 0)</f>
        <v>0</v>
      </c>
      <c r="I27" s="65">
        <f>IF(I$2&lt;=Assumptions!$B$16, I12+I16+I25, 0)</f>
        <v>0</v>
      </c>
      <c r="J27" s="65">
        <f>IF(J$2&lt;=Assumptions!$B$16, J12+J16+J25, 0)</f>
        <v>0</v>
      </c>
      <c r="K27" s="65">
        <f>IF(K$2&lt;=Assumptions!$B$16, K12+K16+K25, 0)</f>
        <v>0</v>
      </c>
      <c r="L27" s="65">
        <f>IF(L$2&lt;=Assumptions!$B$16, L12+L16+L25, 0)</f>
        <v>0</v>
      </c>
      <c r="M27" s="65">
        <f>IF(M$2&lt;=Assumptions!$B$16, M12+M16+M25, 0)</f>
        <v>0</v>
      </c>
      <c r="N27" s="65">
        <f>IF(N$2&lt;=Assumptions!$B$16, N12+N16+N25, 0)</f>
        <v>0</v>
      </c>
      <c r="O27" s="65">
        <f>IF(O$2&lt;=Assumptions!$B$16, O12+O16+O25, 0)</f>
        <v>0</v>
      </c>
      <c r="P27" s="65">
        <f>IF(P$2&lt;=Assumptions!$B$16, P12+P16+P25, 0)</f>
        <v>0</v>
      </c>
      <c r="Q27" s="65">
        <f>IF(Q$2&lt;=Assumptions!$B$16, Q12+Q16+Q25, 0)</f>
        <v>0</v>
      </c>
      <c r="R27" s="65">
        <f>IF(R$2&lt;=Assumptions!$B$16, R12+R16+R25, 0)</f>
        <v>0</v>
      </c>
      <c r="S27" s="65">
        <f>IF(S$2&lt;=Assumptions!$B$16, S12+S16+S25, 0)</f>
        <v>0</v>
      </c>
      <c r="T27" s="65">
        <f>IF(T$2&lt;=Assumptions!$B$16, T12+T16+T25, 0)</f>
        <v>0</v>
      </c>
      <c r="U27" s="65">
        <f>IF(U$2&lt;=Assumptions!$B$16, U12+U16+U25, 0)</f>
        <v>0</v>
      </c>
      <c r="V27" s="65">
        <f>IF(V$2&lt;=Assumptions!$B$16, V12+V16+V25, 0)</f>
        <v>0</v>
      </c>
      <c r="W27" s="65">
        <f>IF(W$2&lt;=Assumptions!$B$16, W12+W16+W25, 0)</f>
        <v>0</v>
      </c>
      <c r="X27" s="65">
        <f>IF(X$2&lt;=Assumptions!$B$16, X12+X16+X25, 0)</f>
        <v>0</v>
      </c>
      <c r="Y27" s="65">
        <f>IF(Y$2&lt;=Assumptions!$B$16, Y12+Y16+Y25, 0)</f>
        <v>0</v>
      </c>
      <c r="Z27" s="65">
        <f>IF(Z$2&lt;=Assumptions!$B$16, Z12+Z16+Z25, 0)</f>
        <v>0</v>
      </c>
      <c r="AA27" s="65">
        <f>IF(AA$2&lt;=Assumptions!$B$16, AA12+AA16+AA25, 0)</f>
        <v>0</v>
      </c>
      <c r="AB27" s="65">
        <f>IF(AB$2&lt;=Assumptions!$B$16, AB12+AB16+AB25, 0)</f>
        <v>0</v>
      </c>
      <c r="AC27" s="65">
        <f>IF(AC$2&lt;=Assumptions!$B$16, AC12+AC16+AC25, 0)</f>
        <v>0</v>
      </c>
      <c r="AD27" s="65">
        <f>IF(AD$2&lt;=Assumptions!$B$16, AD12+AD16+AD25, 0)</f>
        <v>0</v>
      </c>
      <c r="AE27" s="65">
        <f>IF(AE$2&lt;=Assumptions!$B$16, AE12+AE16+AE25, 0)</f>
        <v>0</v>
      </c>
      <c r="AF27" s="65">
        <f>IF(AF$2&lt;=Assumptions!$B$16, AF12+AF16+AF25, 0)</f>
        <v>0</v>
      </c>
    </row>
    <row r="28">
      <c r="A28" s="66" t="s">
        <v>136</v>
      </c>
      <c r="B28" s="67">
        <f>B27</f>
        <v>-143529.6257</v>
      </c>
      <c r="C28" s="67">
        <f t="shared" ref="C28:AF28" si="7">B28+C27</f>
        <v>-144722.6885</v>
      </c>
      <c r="D28" s="67">
        <f t="shared" si="7"/>
        <v>-145059.2514</v>
      </c>
      <c r="E28" s="67">
        <f t="shared" si="7"/>
        <v>-144513.6192</v>
      </c>
      <c r="F28" s="67">
        <f t="shared" si="7"/>
        <v>-143059.3262</v>
      </c>
      <c r="G28" s="67">
        <f t="shared" si="7"/>
        <v>90242.58925</v>
      </c>
      <c r="H28" s="67">
        <f t="shared" si="7"/>
        <v>90242.58925</v>
      </c>
      <c r="I28" s="67">
        <f t="shared" si="7"/>
        <v>90242.58925</v>
      </c>
      <c r="J28" s="67">
        <f t="shared" si="7"/>
        <v>90242.58925</v>
      </c>
      <c r="K28" s="67">
        <f t="shared" si="7"/>
        <v>90242.58925</v>
      </c>
      <c r="L28" s="67">
        <f t="shared" si="7"/>
        <v>90242.58925</v>
      </c>
      <c r="M28" s="67">
        <f t="shared" si="7"/>
        <v>90242.58925</v>
      </c>
      <c r="N28" s="67">
        <f t="shared" si="7"/>
        <v>90242.58925</v>
      </c>
      <c r="O28" s="67">
        <f t="shared" si="7"/>
        <v>90242.58925</v>
      </c>
      <c r="P28" s="67">
        <f t="shared" si="7"/>
        <v>90242.58925</v>
      </c>
      <c r="Q28" s="67">
        <f t="shared" si="7"/>
        <v>90242.58925</v>
      </c>
      <c r="R28" s="67">
        <f t="shared" si="7"/>
        <v>90242.58925</v>
      </c>
      <c r="S28" s="67">
        <f t="shared" si="7"/>
        <v>90242.58925</v>
      </c>
      <c r="T28" s="67">
        <f t="shared" si="7"/>
        <v>90242.58925</v>
      </c>
      <c r="U28" s="67">
        <f t="shared" si="7"/>
        <v>90242.58925</v>
      </c>
      <c r="V28" s="67">
        <f t="shared" si="7"/>
        <v>90242.58925</v>
      </c>
      <c r="W28" s="67">
        <f t="shared" si="7"/>
        <v>90242.58925</v>
      </c>
      <c r="X28" s="67">
        <f t="shared" si="7"/>
        <v>90242.58925</v>
      </c>
      <c r="Y28" s="67">
        <f t="shared" si="7"/>
        <v>90242.58925</v>
      </c>
      <c r="Z28" s="67">
        <f t="shared" si="7"/>
        <v>90242.58925</v>
      </c>
      <c r="AA28" s="67">
        <f t="shared" si="7"/>
        <v>90242.58925</v>
      </c>
      <c r="AB28" s="67">
        <f t="shared" si="7"/>
        <v>90242.58925</v>
      </c>
      <c r="AC28" s="67">
        <f t="shared" si="7"/>
        <v>90242.58925</v>
      </c>
      <c r="AD28" s="67">
        <f t="shared" si="7"/>
        <v>90242.58925</v>
      </c>
      <c r="AE28" s="67">
        <f t="shared" si="7"/>
        <v>90242.58925</v>
      </c>
      <c r="AF28" s="67">
        <f t="shared" si="7"/>
        <v>90242.58925</v>
      </c>
    </row>
    <row r="29"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</row>
    <row r="30">
      <c r="B30" s="9" t="s">
        <v>137</v>
      </c>
      <c r="C30" s="69">
        <f>C27/Assumptions!B4</f>
        <v>-0.002485547592</v>
      </c>
    </row>
    <row r="32">
      <c r="A32" s="9" t="s">
        <v>113</v>
      </c>
      <c r="B32" s="70">
        <f t="shared" ref="B32:F32" si="8">B27</f>
        <v>-143529.6257</v>
      </c>
      <c r="C32" s="71">
        <f t="shared" si="8"/>
        <v>-1193.062844</v>
      </c>
      <c r="D32" s="71">
        <f t="shared" si="8"/>
        <v>-336.562844</v>
      </c>
      <c r="E32" s="71">
        <f t="shared" si="8"/>
        <v>545.632156</v>
      </c>
      <c r="F32" s="71">
        <f t="shared" si="8"/>
        <v>1454.293006</v>
      </c>
      <c r="G32" s="71">
        <f>G27-(Assumptions!B17-Assumptions!B4)</f>
        <v>153301.9155</v>
      </c>
    </row>
    <row r="33">
      <c r="A33" s="72">
        <f>irr(B32:G32)</f>
        <v>0.01382072287</v>
      </c>
    </row>
  </sheetData>
  <drawing r:id="rId1"/>
</worksheet>
</file>